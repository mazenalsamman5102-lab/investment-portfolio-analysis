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e339614e29b64257/المستندات/"/>
    </mc:Choice>
  </mc:AlternateContent>
  <xr:revisionPtr revIDLastSave="0" documentId="8_{8950BEA5-9A2F-5E4E-8795-783612054154}" xr6:coauthVersionLast="47" xr6:coauthVersionMax="47" xr10:uidLastSave="{00000000-0000-0000-0000-000000000000}"/>
  <bookViews>
    <workbookView xWindow="-108" yWindow="-108" windowWidth="23256" windowHeight="12456" xr2:uid="{0F9CE0A3-C2CC-4EA1-AF4B-FD1B0EE8CF47}"/>
  </bookViews>
  <sheets>
    <sheet name="الواجب الثاني بمقرر إدارة المحا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84" i="1" l="1"/>
  <c r="D84" i="1"/>
  <c r="E84" i="1"/>
  <c r="F84" i="1"/>
  <c r="B84" i="1"/>
  <c r="C83" i="1"/>
  <c r="D83" i="1"/>
  <c r="E83" i="1"/>
  <c r="F83" i="1"/>
  <c r="B83" i="1"/>
  <c r="C82" i="1"/>
  <c r="D82" i="1"/>
  <c r="E82" i="1"/>
  <c r="F82" i="1"/>
  <c r="B82" i="1"/>
  <c r="C81" i="1"/>
  <c r="D81" i="1"/>
  <c r="E81" i="1"/>
  <c r="F81" i="1"/>
  <c r="B81" i="1"/>
  <c r="C80" i="1"/>
  <c r="D80" i="1"/>
  <c r="E80" i="1"/>
  <c r="F80" i="1"/>
  <c r="B80" i="1"/>
  <c r="C79" i="1"/>
  <c r="D79" i="1"/>
  <c r="E79" i="1"/>
  <c r="F79" i="1"/>
  <c r="B79" i="1"/>
  <c r="C78" i="1" a="1"/>
  <c r="C78" i="1"/>
  <c r="D78" i="1" a="1"/>
  <c r="D78" i="1"/>
  <c r="E78" i="1" a="1"/>
  <c r="E78" i="1"/>
  <c r="F78" i="1" a="1"/>
  <c r="F78" i="1"/>
  <c r="B78" i="1" a="1"/>
  <c r="B78" i="1"/>
  <c r="B77" i="1"/>
  <c r="B76" i="1"/>
  <c r="B75" i="1"/>
  <c r="B74" i="1"/>
  <c r="B73" i="1"/>
  <c r="B72" i="1"/>
  <c r="B71" i="1" a="1"/>
  <c r="B71" i="1"/>
  <c r="B70" i="1"/>
  <c r="B69" i="1"/>
  <c r="C68" i="1"/>
  <c r="D68" i="1"/>
  <c r="E68" i="1"/>
  <c r="B68" i="1"/>
  <c r="C67" i="1" a="1"/>
  <c r="C67" i="1"/>
  <c r="D67" i="1" a="1"/>
  <c r="D67" i="1"/>
  <c r="E67" i="1" a="1"/>
  <c r="E67" i="1"/>
  <c r="F67" i="1" a="1"/>
  <c r="F67" i="1"/>
  <c r="B67" i="1" a="1"/>
  <c r="B67" i="1"/>
  <c r="B66" i="1" a="1"/>
  <c r="B66" i="1"/>
  <c r="D66" i="1" a="1"/>
  <c r="D66" i="1"/>
  <c r="E65" i="1"/>
  <c r="E59" i="1"/>
  <c r="F59" i="1"/>
  <c r="F60" i="1"/>
  <c r="H3" i="1"/>
  <c r="C61" i="1"/>
  <c r="C62" i="1"/>
  <c r="I3" i="1"/>
  <c r="D59" i="1"/>
  <c r="J3" i="1"/>
  <c r="K3" i="1"/>
  <c r="H4" i="1"/>
  <c r="I4" i="1"/>
  <c r="J4" i="1"/>
  <c r="E58" i="1"/>
  <c r="K4" i="1"/>
  <c r="C66" i="1" a="1"/>
  <c r="C66" i="1"/>
  <c r="H5" i="1"/>
  <c r="I5" i="1"/>
  <c r="J5" i="1"/>
  <c r="K5" i="1"/>
  <c r="H6" i="1"/>
  <c r="I6" i="1"/>
  <c r="J6" i="1"/>
  <c r="K6" i="1"/>
  <c r="H7" i="1"/>
  <c r="I7" i="1"/>
  <c r="J7" i="1"/>
  <c r="K7" i="1"/>
  <c r="H8" i="1"/>
  <c r="I8" i="1"/>
  <c r="J8" i="1"/>
  <c r="K8" i="1"/>
  <c r="H9" i="1"/>
  <c r="I9" i="1"/>
  <c r="J9" i="1"/>
  <c r="K9" i="1"/>
  <c r="H10" i="1"/>
  <c r="I10" i="1"/>
  <c r="J10" i="1"/>
  <c r="K10" i="1"/>
  <c r="H11" i="1"/>
  <c r="I11" i="1"/>
  <c r="J11" i="1"/>
  <c r="K11" i="1"/>
  <c r="H12" i="1"/>
  <c r="I12" i="1"/>
  <c r="J12" i="1"/>
  <c r="K12" i="1"/>
  <c r="H13" i="1"/>
  <c r="I13" i="1"/>
  <c r="J13" i="1"/>
  <c r="K13" i="1"/>
  <c r="H14" i="1"/>
  <c r="I14" i="1"/>
  <c r="J14" i="1"/>
  <c r="K14" i="1"/>
  <c r="H15" i="1"/>
  <c r="I15" i="1"/>
  <c r="J15" i="1"/>
  <c r="K15" i="1"/>
  <c r="H16" i="1"/>
  <c r="I16" i="1"/>
  <c r="J16" i="1"/>
  <c r="K16" i="1"/>
  <c r="H17" i="1"/>
  <c r="I17" i="1"/>
  <c r="J17" i="1"/>
  <c r="K17" i="1"/>
  <c r="H18" i="1"/>
  <c r="I18" i="1"/>
  <c r="J18" i="1"/>
  <c r="K18" i="1"/>
  <c r="H19" i="1"/>
  <c r="I19" i="1"/>
  <c r="J19" i="1"/>
  <c r="K19" i="1"/>
  <c r="H20" i="1"/>
  <c r="I20" i="1"/>
  <c r="J20" i="1"/>
  <c r="K20" i="1"/>
  <c r="H21" i="1"/>
  <c r="I21" i="1"/>
  <c r="J21" i="1"/>
  <c r="K21" i="1"/>
  <c r="H22" i="1"/>
  <c r="I22" i="1"/>
  <c r="J22" i="1"/>
  <c r="K22" i="1"/>
  <c r="H23" i="1"/>
  <c r="I23" i="1"/>
  <c r="J23" i="1"/>
  <c r="K23" i="1"/>
  <c r="H24" i="1"/>
  <c r="I24" i="1"/>
  <c r="J24" i="1"/>
  <c r="K24" i="1"/>
  <c r="H25" i="1"/>
  <c r="I25" i="1"/>
  <c r="J25" i="1"/>
  <c r="K25" i="1"/>
  <c r="H26" i="1"/>
  <c r="I26" i="1"/>
  <c r="J26" i="1"/>
  <c r="K26" i="1"/>
  <c r="H27" i="1"/>
  <c r="I27" i="1"/>
  <c r="J27" i="1"/>
  <c r="K27" i="1"/>
  <c r="H28" i="1"/>
  <c r="I28" i="1"/>
  <c r="J28" i="1"/>
  <c r="K28" i="1"/>
  <c r="H29" i="1"/>
  <c r="I29" i="1"/>
  <c r="J29" i="1"/>
  <c r="K29" i="1"/>
  <c r="H30" i="1"/>
  <c r="I30" i="1"/>
  <c r="J30" i="1"/>
  <c r="K30" i="1"/>
  <c r="H31" i="1"/>
  <c r="I31" i="1"/>
  <c r="J31" i="1"/>
  <c r="K31" i="1"/>
  <c r="H32" i="1"/>
  <c r="I32" i="1"/>
  <c r="J32" i="1"/>
  <c r="K32" i="1"/>
  <c r="H33" i="1"/>
  <c r="I33" i="1"/>
  <c r="J33" i="1"/>
  <c r="K33" i="1"/>
  <c r="H34" i="1"/>
  <c r="I34" i="1"/>
  <c r="J34" i="1"/>
  <c r="K34" i="1"/>
  <c r="H35" i="1"/>
  <c r="I35" i="1"/>
  <c r="J35" i="1"/>
  <c r="K35" i="1"/>
  <c r="H36" i="1"/>
  <c r="I36" i="1"/>
  <c r="J36" i="1"/>
  <c r="K36" i="1"/>
  <c r="H37" i="1"/>
  <c r="I37" i="1"/>
  <c r="J37" i="1"/>
  <c r="K37" i="1"/>
  <c r="H38" i="1"/>
  <c r="I38" i="1"/>
  <c r="J38" i="1"/>
  <c r="K38" i="1"/>
  <c r="H39" i="1"/>
  <c r="I39" i="1"/>
  <c r="J39" i="1"/>
  <c r="K39" i="1"/>
  <c r="H40" i="1"/>
  <c r="I40" i="1"/>
  <c r="J40" i="1"/>
  <c r="K40" i="1"/>
  <c r="H41" i="1"/>
  <c r="I41" i="1"/>
  <c r="J41" i="1"/>
  <c r="K41" i="1"/>
  <c r="H42" i="1"/>
  <c r="I42" i="1"/>
  <c r="J42" i="1"/>
  <c r="K42" i="1"/>
  <c r="H43" i="1"/>
  <c r="I43" i="1"/>
  <c r="J43" i="1"/>
  <c r="K43" i="1"/>
  <c r="H44" i="1"/>
  <c r="I44" i="1"/>
  <c r="J44" i="1"/>
  <c r="K44" i="1"/>
  <c r="H45" i="1"/>
  <c r="I45" i="1"/>
  <c r="J45" i="1"/>
  <c r="K45" i="1"/>
  <c r="H46" i="1"/>
  <c r="I46" i="1"/>
  <c r="J46" i="1"/>
  <c r="K46" i="1"/>
  <c r="H47" i="1"/>
  <c r="I47" i="1"/>
  <c r="J47" i="1"/>
  <c r="K47" i="1"/>
  <c r="H48" i="1"/>
  <c r="I48" i="1"/>
  <c r="J48" i="1"/>
  <c r="K48" i="1"/>
  <c r="H49" i="1"/>
  <c r="I49" i="1"/>
  <c r="J49" i="1"/>
  <c r="K49" i="1"/>
  <c r="H50" i="1"/>
  <c r="I50" i="1"/>
  <c r="J50" i="1"/>
  <c r="K50" i="1"/>
  <c r="H51" i="1"/>
  <c r="I51" i="1"/>
  <c r="J51" i="1"/>
  <c r="K51" i="1"/>
  <c r="H52" i="1"/>
  <c r="I52" i="1"/>
  <c r="J52" i="1"/>
  <c r="K52" i="1"/>
  <c r="H53" i="1"/>
  <c r="I53" i="1"/>
  <c r="J53" i="1"/>
  <c r="K5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3" i="1"/>
  <c r="B56" i="1"/>
  <c r="B57" i="1"/>
  <c r="D60" i="1"/>
  <c r="D61" i="1"/>
  <c r="D62" i="1"/>
  <c r="D65" i="1"/>
  <c r="D58" i="1"/>
  <c r="C58" i="1"/>
  <c r="C59" i="1"/>
  <c r="E60" i="1"/>
  <c r="B61" i="1"/>
  <c r="B62" i="1"/>
  <c r="C65" i="1"/>
  <c r="C64" i="1"/>
  <c r="F65" i="1"/>
  <c r="F58" i="1"/>
  <c r="B64" i="1"/>
  <c r="F56" i="1"/>
  <c r="F57" i="1"/>
  <c r="B58" i="1"/>
  <c r="F64" i="1"/>
  <c r="E56" i="1"/>
  <c r="E57" i="1"/>
  <c r="B59" i="1"/>
  <c r="F61" i="1"/>
  <c r="F62" i="1"/>
  <c r="E64" i="1"/>
  <c r="F66" i="1" a="1"/>
  <c r="F66" i="1"/>
  <c r="E61" i="1"/>
  <c r="E62" i="1"/>
  <c r="D64" i="1"/>
  <c r="E66" i="1" a="1"/>
  <c r="E66" i="1"/>
  <c r="B65" i="1"/>
  <c r="D56" i="1"/>
  <c r="D57" i="1"/>
  <c r="C56" i="1"/>
  <c r="C57" i="1"/>
  <c r="F63" i="1"/>
  <c r="B63" i="1"/>
  <c r="B60" i="1"/>
  <c r="E63" i="1"/>
  <c r="D63" i="1"/>
  <c r="C60" i="1"/>
  <c r="C63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<sst xmlns="http://schemas.openxmlformats.org/spreadsheetml/2006/main" count="41" uniqueCount="41">
  <si>
    <t>DATE</t>
  </si>
  <si>
    <t>ARAMCO1</t>
  </si>
  <si>
    <t>BAHRI2</t>
  </si>
  <si>
    <t xml:space="preserve"> RABIGH3</t>
  </si>
  <si>
    <t>ALMASAFY4</t>
  </si>
  <si>
    <t>ENERGY</t>
  </si>
  <si>
    <t>R1</t>
  </si>
  <si>
    <t>R2</t>
  </si>
  <si>
    <t>R3</t>
  </si>
  <si>
    <t>R4</t>
  </si>
  <si>
    <t>RM</t>
  </si>
  <si>
    <t>AVERAGE</t>
  </si>
  <si>
    <t>ANNUALIZED R</t>
  </si>
  <si>
    <t>GEOMEAN</t>
  </si>
  <si>
    <t>SD</t>
  </si>
  <si>
    <t>ANNUALIZED SD</t>
  </si>
  <si>
    <t>VARIANCE</t>
  </si>
  <si>
    <t>CV</t>
  </si>
  <si>
    <t>COV</t>
  </si>
  <si>
    <t>CORREL</t>
  </si>
  <si>
    <t>ALPHA</t>
  </si>
  <si>
    <t>BETA</t>
  </si>
  <si>
    <t>RESIDUAL V.</t>
  </si>
  <si>
    <t>RP</t>
  </si>
  <si>
    <t>ALPHA-P</t>
  </si>
  <si>
    <t>BETA-P</t>
  </si>
  <si>
    <t>RESIDUAL V. P</t>
  </si>
  <si>
    <t>P-SYSTIMATIC</t>
  </si>
  <si>
    <t>P-UNSYSTIMATIC</t>
  </si>
  <si>
    <t>P-VARIANCE</t>
  </si>
  <si>
    <t>P-SD</t>
  </si>
  <si>
    <t>ANNUALIZED SEMI-DEV</t>
  </si>
  <si>
    <t>ANNUALIZED CV*</t>
  </si>
  <si>
    <t>SHARPE</t>
  </si>
  <si>
    <t>SORTINO</t>
  </si>
  <si>
    <t>SEMI-VARIANCE</t>
  </si>
  <si>
    <t>Wi</t>
  </si>
  <si>
    <t>ANNUALIZED VARIANCE</t>
  </si>
  <si>
    <t>RP-MARKET MODEL</t>
  </si>
  <si>
    <t>SEMI-DEVIATION</t>
  </si>
  <si>
    <t>JENSEN ALPHA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</si>
</sst>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_-* #,##0.00000_-;\-* #,##0.00000_-;_-* &quot;-&quot;??_-;_-@_-"/>
    <numFmt numFmtId="165" formatCode="_-* #,##0.0000000_-;\-* #,##0.0000000_-;_-* &quot;-&quot;??_-;_-@_-"/>
  </numFmts>
  <fonts count="18" x14ac:knownFonts="1">
    <font>
      <sz val="11"/>
      <color theme="1"/>
      <name val="Arial"/>
      <family val="2"/>
      <charset val="178"/>
      <scheme val="minor"/>
    </font>
    <font>
      <sz val="11"/>
      <color theme="1"/>
      <name val="Arial"/>
      <family val="2"/>
      <charset val="178"/>
      <scheme val="minor"/>
    </font>
    <font>
      <b/>
      <sz val="11"/>
      <color rgb="FF3F3F3F"/>
      <name val="Arial"/>
      <family val="2"/>
      <charset val="178"/>
      <scheme val="minor"/>
    </font>
    <font>
      <sz val="11"/>
      <color rgb="FF3F3F76"/>
      <name val="Arial"/>
      <family val="2"/>
      <charset val="178"/>
      <scheme val="minor"/>
    </font>
    <font>
      <b/>
      <sz val="11"/>
      <color theme="1"/>
      <name val="Arial"/>
      <family val="2"/>
      <charset val="178"/>
      <scheme val="minor"/>
    </font>
    <font>
      <sz val="11"/>
      <color theme="0"/>
      <name val="Arial"/>
      <family val="2"/>
      <charset val="178"/>
      <scheme val="minor"/>
    </font>
    <font>
      <sz val="11"/>
      <color rgb="FF006100"/>
      <name val="Arial"/>
      <family val="2"/>
      <charset val="178"/>
      <scheme val="minor"/>
    </font>
    <font>
      <b/>
      <sz val="11"/>
      <color rgb="FFFA7D00"/>
      <name val="Arial"/>
      <family val="2"/>
      <charset val="178"/>
      <scheme val="minor"/>
    </font>
    <font>
      <b/>
      <sz val="11"/>
      <color theme="0"/>
      <name val="Arial"/>
      <family val="2"/>
      <charset val="178"/>
      <scheme val="minor"/>
    </font>
    <font>
      <sz val="11"/>
      <color rgb="FFFA7D00"/>
      <name val="Arial"/>
      <family val="2"/>
      <charset val="178"/>
      <scheme val="minor"/>
    </font>
    <font>
      <sz val="11"/>
      <color rgb="FF9C0006"/>
      <name val="Arial"/>
      <family val="2"/>
      <charset val="178"/>
      <scheme val="minor"/>
    </font>
    <font>
      <sz val="18"/>
      <color theme="3"/>
      <name val="Times New Roman"/>
      <family val="2"/>
      <charset val="178"/>
      <scheme val="major"/>
    </font>
    <font>
      <b/>
      <sz val="15"/>
      <color theme="3"/>
      <name val="Arial"/>
      <family val="2"/>
      <charset val="178"/>
      <scheme val="minor"/>
    </font>
    <font>
      <b/>
      <sz val="13"/>
      <color theme="3"/>
      <name val="Arial"/>
      <family val="2"/>
      <charset val="178"/>
      <scheme val="minor"/>
    </font>
    <font>
      <b/>
      <sz val="11"/>
      <color theme="3"/>
      <name val="Arial"/>
      <family val="2"/>
      <charset val="178"/>
      <scheme val="minor"/>
    </font>
    <font>
      <sz val="11"/>
      <color rgb="FF9C5700"/>
      <name val="Arial"/>
      <family val="2"/>
      <charset val="178"/>
      <scheme val="minor"/>
    </font>
    <font>
      <sz val="11"/>
      <color rgb="FFFF0000"/>
      <name val="Arial"/>
      <family val="2"/>
      <charset val="178"/>
      <scheme val="minor"/>
    </font>
    <font>
      <i/>
      <sz val="11"/>
      <color rgb="FF7F7F7F"/>
      <name val="Arial"/>
      <family val="2"/>
      <charset val="178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2F2F2"/>
      </patternFill>
    </fill>
    <fill>
      <patternFill patternType="solid">
        <fgColor rgb="FFFFCC99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C6EFCE"/>
      </patternFill>
    </fill>
    <fill>
      <patternFill patternType="solid">
        <fgColor rgb="FFA5A5A5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FFCC"/>
      </patternFill>
    </fill>
  </fills>
  <borders count="10">
    <border>
      <left/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44">
    <xf numFmtId="0" fontId="0" fillId="0" borderId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8" borderId="0" applyNumberFormat="0" applyBorder="0" applyAlignment="0" applyProtection="0"/>
    <xf numFmtId="0" fontId="1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" fillId="20" borderId="1" applyNumberFormat="0" applyAlignment="0" applyProtection="0"/>
    <xf numFmtId="0" fontId="3" fillId="21" borderId="2" applyNumberFormat="0" applyAlignment="0" applyProtection="0"/>
    <xf numFmtId="0" fontId="4" fillId="0" borderId="3" applyNumberFormat="0" applyFill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24" borderId="0" applyNumberFormat="0" applyBorder="0" applyAlignment="0" applyProtection="0"/>
    <xf numFmtId="0" fontId="5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6" fillId="28" borderId="0" applyNumberFormat="0" applyBorder="0" applyAlignment="0" applyProtection="0"/>
    <xf numFmtId="0" fontId="7" fillId="20" borderId="2" applyNumberFormat="0" applyAlignment="0" applyProtection="0"/>
    <xf numFmtId="0" fontId="8" fillId="29" borderId="4" applyNumberFormat="0" applyAlignment="0" applyProtection="0"/>
    <xf numFmtId="0" fontId="9" fillId="0" borderId="5" applyNumberFormat="0" applyFill="0" applyAlignment="0" applyProtection="0"/>
    <xf numFmtId="0" fontId="10" fillId="30" borderId="0" applyNumberFormat="0" applyBorder="0" applyAlignment="0" applyProtection="0"/>
    <xf numFmtId="0" fontId="11" fillId="0" borderId="0" applyNumberFormat="0" applyFill="0" applyBorder="0" applyAlignment="0" applyProtection="0"/>
    <xf numFmtId="0" fontId="12" fillId="0" borderId="6" applyNumberFormat="0" applyFill="0" applyAlignment="0" applyProtection="0"/>
    <xf numFmtId="0" fontId="13" fillId="0" borderId="7" applyNumberFormat="0" applyFill="0" applyAlignment="0" applyProtection="0"/>
    <xf numFmtId="0" fontId="14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15" fillId="31" borderId="0" applyNumberFormat="0" applyBorder="0" applyAlignment="0" applyProtection="0"/>
    <xf numFmtId="0" fontId="1" fillId="32" borderId="9" applyNumberFormat="0" applyFont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</cellStyleXfs>
  <cellXfs count="7">
    <xf numFmtId="0" fontId="0" fillId="0" borderId="0" xfId="0"/>
    <xf numFmtId="14" fontId="0" fillId="0" borderId="0" xfId="0" applyNumberFormat="1"/>
    <xf numFmtId="4" fontId="0" fillId="0" borderId="0" xfId="0" applyNumberFormat="1"/>
    <xf numFmtId="9" fontId="0" fillId="0" borderId="0" xfId="0" applyNumberFormat="1"/>
    <xf numFmtId="9" fontId="0" fillId="0" borderId="0" xfId="20" applyFont="1"/>
    <xf numFmtId="164" fontId="0" fillId="0" borderId="0" xfId="19" applyNumberFormat="1" applyFont="1"/>
    <xf numFmtId="165" fontId="0" fillId="0" borderId="0" xfId="19" applyNumberFormat="1" applyFont="1"/>
  </cellXfs>
  <cellStyles count="44">
    <cellStyle name="20% - تمييز1" xfId="1" builtinId="30" customBuiltin="1"/>
    <cellStyle name="20% - تمييز2" xfId="2" builtinId="34" customBuiltin="1"/>
    <cellStyle name="20% - تمييز3" xfId="3" builtinId="38" customBuiltin="1"/>
    <cellStyle name="20% - تمييز4" xfId="4" builtinId="42" customBuiltin="1"/>
    <cellStyle name="20% - تمييز5" xfId="5" builtinId="46" customBuiltin="1"/>
    <cellStyle name="20% - تمييز6" xfId="6" builtinId="50" customBuiltin="1"/>
    <cellStyle name="40% - تمييز1" xfId="7" builtinId="31" customBuiltin="1"/>
    <cellStyle name="40% - تمييز2" xfId="8" builtinId="35" customBuiltin="1"/>
    <cellStyle name="40% - تمييز3" xfId="9" builtinId="39" customBuiltin="1"/>
    <cellStyle name="40% - تمييز4" xfId="10" builtinId="43" customBuiltin="1"/>
    <cellStyle name="40% - تمييز5" xfId="11" builtinId="47" customBuiltin="1"/>
    <cellStyle name="40% - تمييز6" xfId="12" builtinId="51" customBuiltin="1"/>
    <cellStyle name="60% - تمييز1" xfId="13" builtinId="32" customBuiltin="1"/>
    <cellStyle name="60% - تمييز2" xfId="14" builtinId="36" customBuiltin="1"/>
    <cellStyle name="60% - تمييز3" xfId="15" builtinId="40" customBuiltin="1"/>
    <cellStyle name="60% - تمييز4" xfId="16" builtinId="44" customBuiltin="1"/>
    <cellStyle name="60% - تمييز5" xfId="17" builtinId="48" customBuiltin="1"/>
    <cellStyle name="60% - تمييز6" xfId="18" builtinId="52" customBuiltin="1"/>
    <cellStyle name="Comma" xfId="19" builtinId="3"/>
    <cellStyle name="Percent" xfId="20" builtinId="5"/>
    <cellStyle name="إخراج" xfId="21" builtinId="21" customBuiltin="1"/>
    <cellStyle name="إدخال" xfId="22" builtinId="20" customBuiltin="1"/>
    <cellStyle name="الإجمالي" xfId="23" builtinId="25" customBuiltin="1"/>
    <cellStyle name="تمييز1" xfId="24" builtinId="29" customBuiltin="1"/>
    <cellStyle name="تمييز2" xfId="25" builtinId="33" customBuiltin="1"/>
    <cellStyle name="تمييز3" xfId="26" builtinId="37" customBuiltin="1"/>
    <cellStyle name="تمييز4" xfId="27" builtinId="41" customBuiltin="1"/>
    <cellStyle name="تمييز5" xfId="28" builtinId="45" customBuiltin="1"/>
    <cellStyle name="تمييز6" xfId="29" builtinId="49" customBuiltin="1"/>
    <cellStyle name="جيد" xfId="30" builtinId="26" customBuiltin="1"/>
    <cellStyle name="حساب" xfId="31" builtinId="22" customBuiltin="1"/>
    <cellStyle name="خلية تدقيق" xfId="32" builtinId="23" customBuiltin="1"/>
    <cellStyle name="خلية مرتبطة" xfId="33" builtinId="24" customBuiltin="1"/>
    <cellStyle name="سيئ" xfId="34" builtinId="27" customBuiltin="1"/>
    <cellStyle name="عادي" xfId="0" builtinId="0"/>
    <cellStyle name="عنوان" xfId="35" builtinId="15" customBuiltin="1"/>
    <cellStyle name="عنوان 1" xfId="36" builtinId="16" customBuiltin="1"/>
    <cellStyle name="عنوان 2" xfId="37" builtinId="17" customBuiltin="1"/>
    <cellStyle name="عنوان 3" xfId="38" builtinId="18" customBuiltin="1"/>
    <cellStyle name="عنوان 4" xfId="39" builtinId="19" customBuiltin="1"/>
    <cellStyle name="محايد" xfId="40" builtinId="28" customBuiltin="1"/>
    <cellStyle name="ملاحظة" xfId="41" builtinId="10" customBuiltin="1"/>
    <cellStyle name="نص تحذير" xfId="42" builtinId="11" customBuiltin="1"/>
    <cellStyle name="نص توضيحي" xfId="43" builtinId="5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6" Type="http://schemas.openxmlformats.org/officeDocument/2006/relationships/calcChain" Target="calcChain.xml" /><Relationship Id="rId5" Type="http://schemas.openxmlformats.org/officeDocument/2006/relationships/sheetMetadata" Target="metadata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نسق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3DCB2D-F451-4DFF-800C-35813DC53B2D}">
  <dimension ref="A1:K84"/>
  <sheetViews>
    <sheetView tabSelected="1" topLeftCell="A49" workbookViewId="0">
      <selection activeCell="B56" sqref="B56"/>
    </sheetView>
  </sheetViews>
  <sheetFormatPr defaultRowHeight="13.5" x14ac:dyDescent="0.15"/>
  <cols>
    <col min="1" max="1" width="22.5546875" customWidth="1"/>
    <col min="2" max="2" width="20.71484375" customWidth="1"/>
    <col min="3" max="3" width="9.55859375" customWidth="1"/>
    <col min="5" max="5" width="9.4375" customWidth="1"/>
    <col min="6" max="6" width="10.05078125" customWidth="1"/>
  </cols>
  <sheetData>
    <row r="1" spans="1:11" x14ac:dyDescent="0.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15">
      <c r="A2" s="1">
        <v>45662</v>
      </c>
      <c r="B2">
        <v>27.95</v>
      </c>
      <c r="C2">
        <v>21.48</v>
      </c>
      <c r="D2">
        <v>8.19</v>
      </c>
      <c r="E2">
        <v>71.8</v>
      </c>
      <c r="F2" s="2">
        <v>5284.95</v>
      </c>
    </row>
    <row r="3" spans="1:11" x14ac:dyDescent="0.15">
      <c r="A3" s="1">
        <v>45669</v>
      </c>
      <c r="B3">
        <v>28.25</v>
      </c>
      <c r="C3">
        <v>22.56</v>
      </c>
      <c r="D3">
        <v>8.18</v>
      </c>
      <c r="E3">
        <v>73</v>
      </c>
      <c r="F3" s="2">
        <v>5343.97</v>
      </c>
      <c r="G3">
        <f>B3/B2-1</f>
        <v>1.0733452593917781E-2</v>
      </c>
      <c r="H3">
        <f t="shared" ref="H3:K18" si="0">C3/C2-1</f>
        <v>5.027932960893855E-2</v>
      </c>
      <c r="I3">
        <f t="shared" si="0"/>
        <v>-1.2210012210012167E-3</v>
      </c>
      <c r="J3">
        <f t="shared" si="0"/>
        <v>1.6713091922005541E-2</v>
      </c>
      <c r="K3">
        <f t="shared" si="0"/>
        <v>1.1167560714860247E-2</v>
      </c>
    </row>
    <row r="4" spans="1:11" x14ac:dyDescent="0.15">
      <c r="A4" s="1">
        <v>45676</v>
      </c>
      <c r="B4">
        <v>28.1</v>
      </c>
      <c r="C4">
        <v>23.2</v>
      </c>
      <c r="D4">
        <v>8.19</v>
      </c>
      <c r="E4">
        <v>74.099999999999994</v>
      </c>
      <c r="F4" s="2">
        <v>5321.38</v>
      </c>
      <c r="G4">
        <f t="shared" ref="G4:G53" si="1">B4/B3-1</f>
        <v>-5.3097345132743223E-3</v>
      </c>
      <c r="H4">
        <f t="shared" si="0"/>
        <v>2.8368794326241176E-2</v>
      </c>
      <c r="I4">
        <f t="shared" si="0"/>
        <v>1.2224938875304847E-3</v>
      </c>
      <c r="J4">
        <f t="shared" si="0"/>
        <v>1.5068493150684814E-2</v>
      </c>
      <c r="K4">
        <f t="shared" si="0"/>
        <v>-4.2271943891900587E-3</v>
      </c>
    </row>
    <row r="5" spans="1:11" x14ac:dyDescent="0.15">
      <c r="A5" s="1">
        <v>45683</v>
      </c>
      <c r="B5">
        <v>27.8</v>
      </c>
      <c r="C5">
        <v>23.96</v>
      </c>
      <c r="D5">
        <v>8.18</v>
      </c>
      <c r="E5">
        <v>73.3</v>
      </c>
      <c r="F5" s="2">
        <v>5271.51</v>
      </c>
      <c r="G5">
        <f t="shared" si="1"/>
        <v>-1.067615658362997E-2</v>
      </c>
      <c r="H5">
        <f t="shared" si="0"/>
        <v>3.2758620689655293E-2</v>
      </c>
      <c r="I5">
        <f t="shared" si="0"/>
        <v>-1.2210012210012167E-3</v>
      </c>
      <c r="J5">
        <f t="shared" si="0"/>
        <v>-1.0796221322537103E-2</v>
      </c>
      <c r="K5">
        <f t="shared" si="0"/>
        <v>-9.3716291638634708E-3</v>
      </c>
    </row>
    <row r="6" spans="1:11" x14ac:dyDescent="0.15">
      <c r="A6" s="1">
        <v>45690</v>
      </c>
      <c r="B6">
        <v>27.65</v>
      </c>
      <c r="C6">
        <v>23.92</v>
      </c>
      <c r="D6">
        <v>8.09</v>
      </c>
      <c r="E6">
        <v>73.5</v>
      </c>
      <c r="F6" s="2">
        <v>5245.93</v>
      </c>
      <c r="G6">
        <f t="shared" si="1"/>
        <v>-5.3956834532374875E-3</v>
      </c>
      <c r="H6">
        <f t="shared" si="0"/>
        <v>-1.6694490818029983E-3</v>
      </c>
      <c r="I6">
        <f t="shared" si="0"/>
        <v>-1.1002444987775029E-2</v>
      </c>
      <c r="J6">
        <f t="shared" si="0"/>
        <v>2.7285129604366354E-3</v>
      </c>
      <c r="K6">
        <f t="shared" si="0"/>
        <v>-4.8524995684348093E-3</v>
      </c>
    </row>
    <row r="7" spans="1:11" x14ac:dyDescent="0.15">
      <c r="A7" s="1">
        <v>45697</v>
      </c>
      <c r="B7">
        <v>27.8</v>
      </c>
      <c r="C7">
        <v>24.88</v>
      </c>
      <c r="D7">
        <v>7.83</v>
      </c>
      <c r="E7">
        <v>72.900000000000006</v>
      </c>
      <c r="F7" s="2">
        <v>5277.25</v>
      </c>
      <c r="G7">
        <f t="shared" si="1"/>
        <v>5.4249547920435237E-3</v>
      </c>
      <c r="H7">
        <f t="shared" si="0"/>
        <v>4.013377926421402E-2</v>
      </c>
      <c r="I7">
        <f t="shared" si="0"/>
        <v>-3.2138442521631672E-2</v>
      </c>
      <c r="J7">
        <f t="shared" si="0"/>
        <v>-8.1632653061223248E-3</v>
      </c>
      <c r="K7">
        <f t="shared" si="0"/>
        <v>5.9703427228345873E-3</v>
      </c>
    </row>
    <row r="8" spans="1:11" x14ac:dyDescent="0.15">
      <c r="A8" s="1">
        <v>45704</v>
      </c>
      <c r="B8">
        <v>27.7</v>
      </c>
      <c r="C8">
        <v>24.48</v>
      </c>
      <c r="D8">
        <v>7.68</v>
      </c>
      <c r="E8">
        <v>72.3</v>
      </c>
      <c r="F8" s="2">
        <v>5254.47</v>
      </c>
      <c r="G8">
        <f t="shared" si="1"/>
        <v>-3.597122302158362E-3</v>
      </c>
      <c r="H8">
        <f t="shared" si="0"/>
        <v>-1.6077170418006381E-2</v>
      </c>
      <c r="I8">
        <f t="shared" si="0"/>
        <v>-1.9157088122605415E-2</v>
      </c>
      <c r="J8">
        <f t="shared" si="0"/>
        <v>-8.2304526748971929E-3</v>
      </c>
      <c r="K8">
        <f t="shared" si="0"/>
        <v>-4.3166421905348473E-3</v>
      </c>
    </row>
    <row r="9" spans="1:11" x14ac:dyDescent="0.15">
      <c r="A9" s="1">
        <v>45711</v>
      </c>
      <c r="B9">
        <v>27.1</v>
      </c>
      <c r="C9">
        <v>24.32</v>
      </c>
      <c r="D9">
        <v>7.52</v>
      </c>
      <c r="E9">
        <v>70.099999999999994</v>
      </c>
      <c r="F9" s="2">
        <v>5142.1000000000004</v>
      </c>
      <c r="G9">
        <f t="shared" si="1"/>
        <v>-2.166064981949456E-2</v>
      </c>
      <c r="H9">
        <f t="shared" si="0"/>
        <v>-6.5359477124182774E-3</v>
      </c>
      <c r="I9">
        <f t="shared" si="0"/>
        <v>-2.083333333333337E-2</v>
      </c>
      <c r="J9">
        <f t="shared" si="0"/>
        <v>-3.0428769017980639E-2</v>
      </c>
      <c r="K9">
        <f t="shared" si="0"/>
        <v>-2.1385601211920457E-2</v>
      </c>
    </row>
    <row r="10" spans="1:11" x14ac:dyDescent="0.15">
      <c r="A10" s="1">
        <v>45718</v>
      </c>
      <c r="B10">
        <v>26.25</v>
      </c>
      <c r="C10">
        <v>23.4</v>
      </c>
      <c r="D10">
        <v>7.01</v>
      </c>
      <c r="E10">
        <v>67.599999999999994</v>
      </c>
      <c r="F10" s="2">
        <v>4977.18</v>
      </c>
      <c r="G10">
        <f t="shared" si="1"/>
        <v>-3.1365313653136551E-2</v>
      </c>
      <c r="H10">
        <f t="shared" si="0"/>
        <v>-3.7828947368421129E-2</v>
      </c>
      <c r="I10">
        <f t="shared" si="0"/>
        <v>-6.7819148936170137E-2</v>
      </c>
      <c r="J10">
        <f t="shared" si="0"/>
        <v>-3.5663338088445129E-2</v>
      </c>
      <c r="K10">
        <f t="shared" si="0"/>
        <v>-3.207249956243563E-2</v>
      </c>
    </row>
    <row r="11" spans="1:11" x14ac:dyDescent="0.15">
      <c r="A11" s="1">
        <v>45725</v>
      </c>
      <c r="B11">
        <v>25.95</v>
      </c>
      <c r="C11">
        <v>23.2</v>
      </c>
      <c r="D11">
        <v>6.89</v>
      </c>
      <c r="E11">
        <v>65</v>
      </c>
      <c r="F11" s="2">
        <v>4923.75</v>
      </c>
      <c r="G11">
        <f t="shared" si="1"/>
        <v>-1.1428571428571455E-2</v>
      </c>
      <c r="H11">
        <f t="shared" si="0"/>
        <v>-8.5470085470085166E-3</v>
      </c>
      <c r="I11">
        <f t="shared" si="0"/>
        <v>-1.7118402282453649E-2</v>
      </c>
      <c r="J11">
        <f t="shared" si="0"/>
        <v>-3.8461538461538436E-2</v>
      </c>
      <c r="K11">
        <f t="shared" si="0"/>
        <v>-1.0734994514966401E-2</v>
      </c>
    </row>
    <row r="12" spans="1:11" x14ac:dyDescent="0.15">
      <c r="A12" s="1">
        <v>45732</v>
      </c>
      <c r="B12">
        <v>25.7</v>
      </c>
      <c r="C12">
        <v>24.84</v>
      </c>
      <c r="D12">
        <v>7.68</v>
      </c>
      <c r="E12">
        <v>64.3</v>
      </c>
      <c r="F12" s="2">
        <v>4883.34</v>
      </c>
      <c r="G12">
        <f t="shared" si="1"/>
        <v>-9.6339113680153909E-3</v>
      </c>
      <c r="H12">
        <f t="shared" si="0"/>
        <v>7.0689655172413879E-2</v>
      </c>
      <c r="I12">
        <f t="shared" si="0"/>
        <v>0.11465892597968064</v>
      </c>
      <c r="J12">
        <f t="shared" si="0"/>
        <v>-1.0769230769230864E-2</v>
      </c>
      <c r="K12">
        <f t="shared" si="0"/>
        <v>-8.2071591774561803E-3</v>
      </c>
    </row>
    <row r="13" spans="1:11" x14ac:dyDescent="0.15">
      <c r="A13" s="1">
        <v>45739</v>
      </c>
      <c r="B13">
        <v>26.75</v>
      </c>
      <c r="C13">
        <v>25.24</v>
      </c>
      <c r="D13">
        <v>7.86</v>
      </c>
      <c r="E13">
        <v>65.3</v>
      </c>
      <c r="F13" s="2">
        <v>5077.1899999999996</v>
      </c>
      <c r="G13">
        <f t="shared" si="1"/>
        <v>4.0856031128404746E-2</v>
      </c>
      <c r="H13">
        <f t="shared" si="0"/>
        <v>1.61030595813203E-2</v>
      </c>
      <c r="I13">
        <f t="shared" si="0"/>
        <v>2.34375E-2</v>
      </c>
      <c r="J13">
        <f t="shared" si="0"/>
        <v>1.5552099533437058E-2</v>
      </c>
      <c r="K13">
        <f t="shared" si="0"/>
        <v>3.969619154103543E-2</v>
      </c>
    </row>
    <row r="14" spans="1:11" x14ac:dyDescent="0.15">
      <c r="A14" s="1">
        <v>45746</v>
      </c>
      <c r="B14">
        <v>26.3</v>
      </c>
      <c r="C14">
        <v>24.68</v>
      </c>
      <c r="D14">
        <v>7.69</v>
      </c>
      <c r="E14">
        <v>63.5</v>
      </c>
      <c r="F14" s="2">
        <v>4992.1400000000003</v>
      </c>
      <c r="G14">
        <f t="shared" si="1"/>
        <v>-1.6822429906542036E-2</v>
      </c>
      <c r="H14">
        <f t="shared" si="0"/>
        <v>-2.2187004754358086E-2</v>
      </c>
      <c r="I14">
        <f t="shared" si="0"/>
        <v>-2.1628498727735312E-2</v>
      </c>
      <c r="J14">
        <f t="shared" si="0"/>
        <v>-2.7565084226646164E-2</v>
      </c>
      <c r="K14">
        <f t="shared" si="0"/>
        <v>-1.6751392010147192E-2</v>
      </c>
    </row>
    <row r="15" spans="1:11" x14ac:dyDescent="0.15">
      <c r="A15" s="1">
        <v>45753</v>
      </c>
      <c r="B15">
        <v>26</v>
      </c>
      <c r="C15">
        <v>24.72</v>
      </c>
      <c r="D15">
        <v>7.26</v>
      </c>
      <c r="E15">
        <v>61.7</v>
      </c>
      <c r="F15" s="2">
        <v>4933.96</v>
      </c>
      <c r="G15">
        <f t="shared" si="1"/>
        <v>-1.1406844106463865E-2</v>
      </c>
      <c r="H15">
        <f t="shared" si="0"/>
        <v>1.6207455429497752E-3</v>
      </c>
      <c r="I15">
        <f t="shared" si="0"/>
        <v>-5.5916775032509802E-2</v>
      </c>
      <c r="J15">
        <f t="shared" si="0"/>
        <v>-2.8346456692913358E-2</v>
      </c>
      <c r="K15">
        <f t="shared" si="0"/>
        <v>-1.165432059197069E-2</v>
      </c>
    </row>
    <row r="16" spans="1:11" x14ac:dyDescent="0.15">
      <c r="A16" s="1">
        <v>45760</v>
      </c>
      <c r="B16">
        <v>25.45</v>
      </c>
      <c r="C16">
        <v>23.96</v>
      </c>
      <c r="D16">
        <v>7.22</v>
      </c>
      <c r="E16">
        <v>62.2</v>
      </c>
      <c r="F16" s="2">
        <v>4828.79</v>
      </c>
      <c r="G16">
        <f t="shared" si="1"/>
        <v>-2.115384615384619E-2</v>
      </c>
      <c r="H16">
        <f t="shared" si="0"/>
        <v>-3.07443365695792E-2</v>
      </c>
      <c r="I16">
        <f t="shared" si="0"/>
        <v>-5.5096418732782926E-3</v>
      </c>
      <c r="J16">
        <f t="shared" si="0"/>
        <v>8.1037277147488762E-3</v>
      </c>
      <c r="K16">
        <f t="shared" si="0"/>
        <v>-2.1315535594127244E-2</v>
      </c>
    </row>
    <row r="17" spans="1:11" x14ac:dyDescent="0.15">
      <c r="A17" s="1">
        <v>45767</v>
      </c>
      <c r="B17">
        <v>25.8</v>
      </c>
      <c r="C17">
        <v>24.08</v>
      </c>
      <c r="D17">
        <v>7.2</v>
      </c>
      <c r="E17">
        <v>62</v>
      </c>
      <c r="F17" s="2">
        <v>4894.24</v>
      </c>
      <c r="G17">
        <f t="shared" si="1"/>
        <v>1.3752455795677854E-2</v>
      </c>
      <c r="H17">
        <f t="shared" si="0"/>
        <v>5.008347245408995E-3</v>
      </c>
      <c r="I17">
        <f t="shared" si="0"/>
        <v>-2.7700831024930483E-3</v>
      </c>
      <c r="J17">
        <f t="shared" si="0"/>
        <v>-3.2154340836013651E-3</v>
      </c>
      <c r="K17">
        <f t="shared" si="0"/>
        <v>1.3554120183317142E-2</v>
      </c>
    </row>
    <row r="18" spans="1:11" x14ac:dyDescent="0.15">
      <c r="A18" s="1">
        <v>45774</v>
      </c>
      <c r="B18">
        <v>25.2</v>
      </c>
      <c r="C18">
        <v>24.64</v>
      </c>
      <c r="D18">
        <v>7.1</v>
      </c>
      <c r="E18">
        <v>60.5</v>
      </c>
      <c r="F18" s="2">
        <v>4785.16</v>
      </c>
      <c r="G18">
        <f t="shared" si="1"/>
        <v>-2.3255813953488413E-2</v>
      </c>
      <c r="H18">
        <f t="shared" si="0"/>
        <v>2.3255813953488413E-2</v>
      </c>
      <c r="I18">
        <f t="shared" si="0"/>
        <v>-1.3888888888888951E-2</v>
      </c>
      <c r="J18">
        <f t="shared" si="0"/>
        <v>-2.4193548387096753E-2</v>
      </c>
      <c r="K18">
        <f t="shared" si="0"/>
        <v>-2.2287423583641219E-2</v>
      </c>
    </row>
    <row r="19" spans="1:11" x14ac:dyDescent="0.15">
      <c r="A19" s="1">
        <v>45781</v>
      </c>
      <c r="B19">
        <v>24.84</v>
      </c>
      <c r="C19">
        <v>23.92</v>
      </c>
      <c r="D19">
        <v>6.84</v>
      </c>
      <c r="E19">
        <v>58.9</v>
      </c>
      <c r="F19" s="2">
        <v>4713.04</v>
      </c>
      <c r="G19">
        <f t="shared" si="1"/>
        <v>-1.4285714285714235E-2</v>
      </c>
      <c r="H19">
        <f t="shared" ref="H19:H53" si="2">C19/C18-1</f>
        <v>-2.9220779220779147E-2</v>
      </c>
      <c r="I19">
        <f t="shared" ref="I19:I53" si="3">D19/D18-1</f>
        <v>-3.6619718309859106E-2</v>
      </c>
      <c r="J19">
        <f t="shared" ref="J19:J53" si="4">E19/E18-1</f>
        <v>-2.6446280991735516E-2</v>
      </c>
      <c r="K19">
        <f t="shared" ref="K19:K53" si="5">F19/F18-1</f>
        <v>-1.5071596352055128E-2</v>
      </c>
    </row>
    <row r="20" spans="1:11" x14ac:dyDescent="0.15">
      <c r="A20" s="1">
        <v>45788</v>
      </c>
      <c r="B20">
        <v>26.15</v>
      </c>
      <c r="C20">
        <v>25.2</v>
      </c>
      <c r="D20">
        <v>6.99</v>
      </c>
      <c r="E20">
        <v>66.900000000000006</v>
      </c>
      <c r="F20" s="2">
        <v>4958.03</v>
      </c>
      <c r="G20">
        <f t="shared" si="1"/>
        <v>5.2737520128824489E-2</v>
      </c>
      <c r="H20">
        <f t="shared" si="2"/>
        <v>5.3511705685618693E-2</v>
      </c>
      <c r="I20">
        <f t="shared" si="3"/>
        <v>2.1929824561403466E-2</v>
      </c>
      <c r="J20">
        <f t="shared" si="4"/>
        <v>0.1358234295415961</v>
      </c>
      <c r="K20">
        <f t="shared" si="5"/>
        <v>5.198131142532203E-2</v>
      </c>
    </row>
    <row r="21" spans="1:11" x14ac:dyDescent="0.15">
      <c r="A21" s="1">
        <v>45795</v>
      </c>
      <c r="B21">
        <v>25.15</v>
      </c>
      <c r="C21">
        <v>24.76</v>
      </c>
      <c r="D21">
        <v>6.87</v>
      </c>
      <c r="E21">
        <v>68.599999999999994</v>
      </c>
      <c r="F21" s="2">
        <v>4771.09</v>
      </c>
      <c r="G21">
        <f t="shared" si="1"/>
        <v>-3.8240917782026762E-2</v>
      </c>
      <c r="H21">
        <f t="shared" si="2"/>
        <v>-1.7460317460317398E-2</v>
      </c>
      <c r="I21">
        <f t="shared" si="3"/>
        <v>-1.7167381974248941E-2</v>
      </c>
      <c r="J21">
        <f t="shared" si="4"/>
        <v>2.5411061285500525E-2</v>
      </c>
      <c r="K21">
        <f t="shared" si="5"/>
        <v>-3.7704491501664883E-2</v>
      </c>
    </row>
    <row r="22" spans="1:11" x14ac:dyDescent="0.15">
      <c r="A22" s="1">
        <v>45802</v>
      </c>
      <c r="B22">
        <v>25</v>
      </c>
      <c r="C22">
        <v>24.4</v>
      </c>
      <c r="D22">
        <v>6.83</v>
      </c>
      <c r="E22">
        <v>63.5</v>
      </c>
      <c r="F22" s="2">
        <v>4740.8</v>
      </c>
      <c r="G22">
        <f t="shared" si="1"/>
        <v>-5.9642147117295874E-3</v>
      </c>
      <c r="H22">
        <f t="shared" si="2"/>
        <v>-1.4539579967689953E-2</v>
      </c>
      <c r="I22">
        <f t="shared" si="3"/>
        <v>-5.8224163027656983E-3</v>
      </c>
      <c r="J22">
        <f t="shared" si="4"/>
        <v>-7.4344023323615116E-2</v>
      </c>
      <c r="K22">
        <f t="shared" si="5"/>
        <v>-6.3486540811428238E-3</v>
      </c>
    </row>
    <row r="23" spans="1:11" x14ac:dyDescent="0.15">
      <c r="A23" s="1">
        <v>45809</v>
      </c>
      <c r="B23">
        <v>24.8</v>
      </c>
      <c r="C23">
        <v>24.52</v>
      </c>
      <c r="D23">
        <v>6.79</v>
      </c>
      <c r="E23">
        <v>62.2</v>
      </c>
      <c r="F23" s="2">
        <v>4704.8</v>
      </c>
      <c r="G23">
        <f t="shared" si="1"/>
        <v>-8.0000000000000071E-3</v>
      </c>
      <c r="H23">
        <f t="shared" si="2"/>
        <v>4.9180327868851847E-3</v>
      </c>
      <c r="I23">
        <f t="shared" si="3"/>
        <v>-5.8565153733528552E-3</v>
      </c>
      <c r="J23">
        <f t="shared" si="4"/>
        <v>-2.0472440944881876E-2</v>
      </c>
      <c r="K23">
        <f t="shared" si="5"/>
        <v>-7.5936550793115343E-3</v>
      </c>
    </row>
    <row r="24" spans="1:11" x14ac:dyDescent="0.15">
      <c r="A24" s="1">
        <v>45816</v>
      </c>
      <c r="B24">
        <v>24.96</v>
      </c>
      <c r="C24">
        <v>24.2</v>
      </c>
      <c r="D24">
        <v>6.89</v>
      </c>
      <c r="E24">
        <v>59.5</v>
      </c>
      <c r="F24" s="2">
        <v>4730.05</v>
      </c>
      <c r="G24">
        <f t="shared" si="1"/>
        <v>6.4516129032257119E-3</v>
      </c>
      <c r="H24">
        <f t="shared" si="2"/>
        <v>-1.3050570962479635E-2</v>
      </c>
      <c r="I24">
        <f t="shared" si="3"/>
        <v>1.4727540500736325E-2</v>
      </c>
      <c r="J24">
        <f t="shared" si="4"/>
        <v>-4.3408360128617374E-2</v>
      </c>
      <c r="K24">
        <f t="shared" si="5"/>
        <v>5.3668593776567963E-3</v>
      </c>
    </row>
    <row r="25" spans="1:11" x14ac:dyDescent="0.15">
      <c r="A25" s="1">
        <v>45823</v>
      </c>
      <c r="B25">
        <v>24.82</v>
      </c>
      <c r="C25">
        <v>24</v>
      </c>
      <c r="D25">
        <v>6.68</v>
      </c>
      <c r="E25">
        <v>55.8</v>
      </c>
      <c r="F25" s="2">
        <v>4699.68</v>
      </c>
      <c r="G25">
        <f t="shared" si="1"/>
        <v>-5.608974358974339E-3</v>
      </c>
      <c r="H25">
        <f t="shared" si="2"/>
        <v>-8.2644628099173278E-3</v>
      </c>
      <c r="I25">
        <f t="shared" si="3"/>
        <v>-3.0478955007256836E-2</v>
      </c>
      <c r="J25">
        <f t="shared" si="4"/>
        <v>-6.2184873949579833E-2</v>
      </c>
      <c r="K25">
        <f t="shared" si="5"/>
        <v>-6.4206509444931781E-3</v>
      </c>
    </row>
    <row r="26" spans="1:11" x14ac:dyDescent="0.15">
      <c r="A26" s="1">
        <v>45830</v>
      </c>
      <c r="B26">
        <v>24.3</v>
      </c>
      <c r="C26">
        <v>24.56</v>
      </c>
      <c r="D26">
        <v>7.18</v>
      </c>
      <c r="E26">
        <v>63.2</v>
      </c>
      <c r="F26" s="2">
        <v>4613.78</v>
      </c>
      <c r="G26">
        <f t="shared" si="1"/>
        <v>-2.0950846091861375E-2</v>
      </c>
      <c r="H26">
        <f t="shared" si="2"/>
        <v>2.3333333333333206E-2</v>
      </c>
      <c r="I26">
        <f t="shared" si="3"/>
        <v>7.4850299401197695E-2</v>
      </c>
      <c r="J26">
        <f t="shared" si="4"/>
        <v>0.13261648745519716</v>
      </c>
      <c r="K26">
        <f t="shared" si="5"/>
        <v>-1.8277840193374972E-2</v>
      </c>
    </row>
    <row r="27" spans="1:11" x14ac:dyDescent="0.15">
      <c r="A27" s="1">
        <v>45837</v>
      </c>
      <c r="B27">
        <v>24.78</v>
      </c>
      <c r="C27">
        <v>23.62</v>
      </c>
      <c r="D27">
        <v>7.94</v>
      </c>
      <c r="E27">
        <v>63.6</v>
      </c>
      <c r="F27" s="2">
        <v>4700.2299999999996</v>
      </c>
      <c r="G27">
        <f t="shared" si="1"/>
        <v>1.9753086419753041E-2</v>
      </c>
      <c r="H27">
        <f t="shared" si="2"/>
        <v>-3.8273615635179059E-2</v>
      </c>
      <c r="I27">
        <f t="shared" si="3"/>
        <v>0.10584958217270213</v>
      </c>
      <c r="J27">
        <f t="shared" si="4"/>
        <v>6.3291139240506666E-3</v>
      </c>
      <c r="K27">
        <f t="shared" si="5"/>
        <v>1.8737347684544936E-2</v>
      </c>
    </row>
    <row r="28" spans="1:11" x14ac:dyDescent="0.15">
      <c r="A28" s="1">
        <v>45844</v>
      </c>
      <c r="B28">
        <v>25.04</v>
      </c>
      <c r="C28">
        <v>23.98</v>
      </c>
      <c r="D28">
        <v>7.6</v>
      </c>
      <c r="E28">
        <v>63.95</v>
      </c>
      <c r="F28" s="2">
        <v>4750.7700000000004</v>
      </c>
      <c r="G28">
        <f t="shared" si="1"/>
        <v>1.0492332526230719E-2</v>
      </c>
      <c r="H28">
        <f t="shared" si="2"/>
        <v>1.5241320914479273E-2</v>
      </c>
      <c r="I28">
        <f t="shared" si="3"/>
        <v>-4.2821158690176442E-2</v>
      </c>
      <c r="J28">
        <f t="shared" si="4"/>
        <v>5.5031446540880768E-3</v>
      </c>
      <c r="K28">
        <f t="shared" si="5"/>
        <v>1.0752665295102659E-2</v>
      </c>
    </row>
    <row r="29" spans="1:11" x14ac:dyDescent="0.15">
      <c r="A29" s="1">
        <v>45851</v>
      </c>
      <c r="B29">
        <v>24.1</v>
      </c>
      <c r="C29">
        <v>23.89</v>
      </c>
      <c r="D29">
        <v>7.38</v>
      </c>
      <c r="E29">
        <v>61.95</v>
      </c>
      <c r="F29" s="2">
        <v>4576.54</v>
      </c>
      <c r="G29">
        <f t="shared" si="1"/>
        <v>-3.7539936102236382E-2</v>
      </c>
      <c r="H29">
        <f t="shared" si="2"/>
        <v>-3.7531276063386132E-3</v>
      </c>
      <c r="I29">
        <f t="shared" si="3"/>
        <v>-2.8947368421052611E-2</v>
      </c>
      <c r="J29">
        <f t="shared" si="4"/>
        <v>-3.1274433150899172E-2</v>
      </c>
      <c r="K29">
        <f t="shared" si="5"/>
        <v>-3.6674054942672507E-2</v>
      </c>
    </row>
    <row r="30" spans="1:11" x14ac:dyDescent="0.15">
      <c r="A30" s="1">
        <v>45858</v>
      </c>
      <c r="B30">
        <v>24.03</v>
      </c>
      <c r="C30">
        <v>22.4</v>
      </c>
      <c r="D30">
        <v>7.36</v>
      </c>
      <c r="E30">
        <v>62</v>
      </c>
      <c r="F30" s="2">
        <v>4557.32</v>
      </c>
      <c r="G30">
        <f t="shared" si="1"/>
        <v>-2.9045643153526868E-3</v>
      </c>
      <c r="H30">
        <f t="shared" si="2"/>
        <v>-6.2369192130598661E-2</v>
      </c>
      <c r="I30">
        <f t="shared" si="3"/>
        <v>-2.7100271002709064E-3</v>
      </c>
      <c r="J30">
        <f t="shared" si="4"/>
        <v>8.0710250201776468E-4</v>
      </c>
      <c r="K30">
        <f t="shared" si="5"/>
        <v>-4.1996792336569388E-3</v>
      </c>
    </row>
    <row r="31" spans="1:11" x14ac:dyDescent="0.15">
      <c r="A31" s="1">
        <v>45865</v>
      </c>
      <c r="B31">
        <v>24.3</v>
      </c>
      <c r="C31">
        <v>22.28</v>
      </c>
      <c r="D31">
        <v>7.12</v>
      </c>
      <c r="E31">
        <v>60.45</v>
      </c>
      <c r="F31" s="2">
        <v>4602.49</v>
      </c>
      <c r="G31">
        <f t="shared" si="1"/>
        <v>1.1235955056179803E-2</v>
      </c>
      <c r="H31">
        <f t="shared" si="2"/>
        <v>-5.3571428571427271E-3</v>
      </c>
      <c r="I31">
        <f t="shared" si="3"/>
        <v>-3.2608695652173947E-2</v>
      </c>
      <c r="J31">
        <f t="shared" si="4"/>
        <v>-2.4999999999999911E-2</v>
      </c>
      <c r="K31">
        <f t="shared" si="5"/>
        <v>9.9115269500495984E-3</v>
      </c>
    </row>
    <row r="32" spans="1:11" x14ac:dyDescent="0.15">
      <c r="A32" s="1">
        <v>45872</v>
      </c>
      <c r="B32">
        <v>24.34</v>
      </c>
      <c r="C32">
        <v>22.47</v>
      </c>
      <c r="D32">
        <v>7.31</v>
      </c>
      <c r="E32">
        <v>60.25</v>
      </c>
      <c r="F32" s="2">
        <v>4615.8</v>
      </c>
      <c r="G32">
        <f t="shared" si="1"/>
        <v>1.6460905349793276E-3</v>
      </c>
      <c r="H32">
        <f t="shared" si="2"/>
        <v>8.5278276481148829E-3</v>
      </c>
      <c r="I32">
        <f t="shared" si="3"/>
        <v>2.6685393258427004E-2</v>
      </c>
      <c r="J32">
        <f t="shared" si="4"/>
        <v>-3.3085194375517268E-3</v>
      </c>
      <c r="K32">
        <f t="shared" si="5"/>
        <v>2.8919128558673179E-3</v>
      </c>
    </row>
    <row r="33" spans="1:11" x14ac:dyDescent="0.15">
      <c r="A33" s="1">
        <v>45879</v>
      </c>
      <c r="B33">
        <v>24.06</v>
      </c>
      <c r="C33">
        <v>21.76</v>
      </c>
      <c r="D33">
        <v>7.12</v>
      </c>
      <c r="E33">
        <v>57.05</v>
      </c>
      <c r="F33" s="2">
        <v>4562.46</v>
      </c>
      <c r="G33">
        <f t="shared" si="1"/>
        <v>-1.1503697617091246E-2</v>
      </c>
      <c r="H33">
        <f t="shared" si="2"/>
        <v>-3.1597685803293141E-2</v>
      </c>
      <c r="I33">
        <f t="shared" si="3"/>
        <v>-2.5991792065663377E-2</v>
      </c>
      <c r="J33">
        <f t="shared" si="4"/>
        <v>-5.311203319502078E-2</v>
      </c>
      <c r="K33">
        <f t="shared" si="5"/>
        <v>-1.1555959963603257E-2</v>
      </c>
    </row>
    <row r="34" spans="1:11" x14ac:dyDescent="0.15">
      <c r="A34" s="1">
        <v>45886</v>
      </c>
      <c r="B34">
        <v>23.71</v>
      </c>
      <c r="C34">
        <v>22</v>
      </c>
      <c r="D34">
        <v>7.6</v>
      </c>
      <c r="E34">
        <v>58.5</v>
      </c>
      <c r="F34" s="2">
        <v>4500.03</v>
      </c>
      <c r="G34">
        <f t="shared" si="1"/>
        <v>-1.454696591853688E-2</v>
      </c>
      <c r="H34">
        <f t="shared" si="2"/>
        <v>1.1029411764705843E-2</v>
      </c>
      <c r="I34">
        <f t="shared" si="3"/>
        <v>6.7415730337078594E-2</v>
      </c>
      <c r="J34">
        <f t="shared" si="4"/>
        <v>2.5416301489921134E-2</v>
      </c>
      <c r="K34">
        <f t="shared" si="5"/>
        <v>-1.3683407635354694E-2</v>
      </c>
    </row>
    <row r="35" spans="1:11" x14ac:dyDescent="0.15">
      <c r="A35" s="1">
        <v>45893</v>
      </c>
      <c r="B35">
        <v>23.7</v>
      </c>
      <c r="C35">
        <v>22.04</v>
      </c>
      <c r="D35">
        <v>7.39</v>
      </c>
      <c r="E35">
        <v>58.1</v>
      </c>
      <c r="F35" s="2">
        <v>4496.33</v>
      </c>
      <c r="G35">
        <f t="shared" si="1"/>
        <v>-4.2176296921137002E-4</v>
      </c>
      <c r="H35">
        <f t="shared" si="2"/>
        <v>1.8181818181817189E-3</v>
      </c>
      <c r="I35">
        <f t="shared" si="3"/>
        <v>-2.7631578947368451E-2</v>
      </c>
      <c r="J35">
        <f t="shared" si="4"/>
        <v>-6.8376068376068133E-3</v>
      </c>
      <c r="K35">
        <f t="shared" si="5"/>
        <v>-8.2221674077720408E-4</v>
      </c>
    </row>
    <row r="36" spans="1:11" x14ac:dyDescent="0.15">
      <c r="A36" s="1">
        <v>45900</v>
      </c>
      <c r="B36">
        <v>23.65</v>
      </c>
      <c r="C36">
        <v>21.9</v>
      </c>
      <c r="D36">
        <v>6.61</v>
      </c>
      <c r="E36">
        <v>56.25</v>
      </c>
      <c r="F36" s="2">
        <v>4483.6400000000003</v>
      </c>
      <c r="G36">
        <f t="shared" si="1"/>
        <v>-2.1097046413502962E-3</v>
      </c>
      <c r="H36">
        <f t="shared" si="2"/>
        <v>-6.3520871143375457E-3</v>
      </c>
      <c r="I36">
        <f t="shared" si="3"/>
        <v>-0.10554803788903921</v>
      </c>
      <c r="J36">
        <f t="shared" si="4"/>
        <v>-3.184165232358005E-2</v>
      </c>
      <c r="K36">
        <f t="shared" si="5"/>
        <v>-2.822301743866551E-3</v>
      </c>
    </row>
    <row r="37" spans="1:11" x14ac:dyDescent="0.15">
      <c r="A37" s="1">
        <v>45907</v>
      </c>
      <c r="B37">
        <v>23.13</v>
      </c>
      <c r="C37">
        <v>22.2</v>
      </c>
      <c r="D37">
        <v>6.74</v>
      </c>
      <c r="E37">
        <v>55.95</v>
      </c>
      <c r="F37" s="2">
        <v>4388.6400000000003</v>
      </c>
      <c r="G37">
        <f t="shared" si="1"/>
        <v>-2.1987315010570829E-2</v>
      </c>
      <c r="H37">
        <f t="shared" si="2"/>
        <v>1.3698630136986356E-2</v>
      </c>
      <c r="I37">
        <f t="shared" si="3"/>
        <v>1.9667170953101332E-2</v>
      </c>
      <c r="J37">
        <f t="shared" si="4"/>
        <v>-5.3333333333333011E-3</v>
      </c>
      <c r="K37">
        <f t="shared" si="5"/>
        <v>-2.1188141777662817E-2</v>
      </c>
    </row>
    <row r="38" spans="1:11" x14ac:dyDescent="0.15">
      <c r="A38" s="1">
        <v>45914</v>
      </c>
      <c r="B38">
        <v>24.47</v>
      </c>
      <c r="C38">
        <v>24.76</v>
      </c>
      <c r="D38">
        <v>6.9</v>
      </c>
      <c r="E38">
        <v>58.5</v>
      </c>
      <c r="F38" s="2">
        <v>4646.17</v>
      </c>
      <c r="G38">
        <f t="shared" si="1"/>
        <v>5.7933419801124098E-2</v>
      </c>
      <c r="H38">
        <f t="shared" si="2"/>
        <v>0.11531531531531547</v>
      </c>
      <c r="I38">
        <f t="shared" si="3"/>
        <v>2.3738872403560762E-2</v>
      </c>
      <c r="J38">
        <f t="shared" si="4"/>
        <v>4.5576407506702443E-2</v>
      </c>
      <c r="K38">
        <f t="shared" si="5"/>
        <v>5.8681049254438733E-2</v>
      </c>
    </row>
    <row r="39" spans="1:11" x14ac:dyDescent="0.15">
      <c r="A39" s="1">
        <v>45921</v>
      </c>
      <c r="B39">
        <v>24.35</v>
      </c>
      <c r="C39">
        <v>27</v>
      </c>
      <c r="D39">
        <v>6.87</v>
      </c>
      <c r="E39">
        <v>62</v>
      </c>
      <c r="F39" s="2">
        <v>4631.09</v>
      </c>
      <c r="G39">
        <f t="shared" si="1"/>
        <v>-4.903964037596964E-3</v>
      </c>
      <c r="H39">
        <f t="shared" si="2"/>
        <v>9.0468497576736695E-2</v>
      </c>
      <c r="I39">
        <f t="shared" si="3"/>
        <v>-4.3478260869566077E-3</v>
      </c>
      <c r="J39">
        <f t="shared" si="4"/>
        <v>5.9829059829059839E-2</v>
      </c>
      <c r="K39">
        <f t="shared" si="5"/>
        <v>-3.2456840795751507E-3</v>
      </c>
    </row>
    <row r="40" spans="1:11" x14ac:dyDescent="0.15">
      <c r="A40" s="1">
        <v>45928</v>
      </c>
      <c r="B40">
        <v>24.75</v>
      </c>
      <c r="C40">
        <v>28.26</v>
      </c>
      <c r="D40">
        <v>7.81</v>
      </c>
      <c r="E40">
        <v>61.5</v>
      </c>
      <c r="F40" s="2">
        <v>4710.58</v>
      </c>
      <c r="G40">
        <f t="shared" si="1"/>
        <v>1.6427104722792629E-2</v>
      </c>
      <c r="H40">
        <f t="shared" si="2"/>
        <v>4.6666666666666634E-2</v>
      </c>
      <c r="I40">
        <f t="shared" si="3"/>
        <v>0.13682678311499274</v>
      </c>
      <c r="J40">
        <f t="shared" si="4"/>
        <v>-8.0645161290322509E-3</v>
      </c>
      <c r="K40">
        <f t="shared" si="5"/>
        <v>1.716442565357168E-2</v>
      </c>
    </row>
    <row r="41" spans="1:11" x14ac:dyDescent="0.15">
      <c r="A41" s="1">
        <v>45935</v>
      </c>
      <c r="B41">
        <v>24.84</v>
      </c>
      <c r="C41">
        <v>27.64</v>
      </c>
      <c r="D41">
        <v>7.89</v>
      </c>
      <c r="E41">
        <v>61.65</v>
      </c>
      <c r="F41" s="2">
        <v>4725.0200000000004</v>
      </c>
      <c r="G41">
        <f t="shared" si="1"/>
        <v>3.6363636363636598E-3</v>
      </c>
      <c r="H41">
        <f t="shared" si="2"/>
        <v>-2.1939136588818187E-2</v>
      </c>
      <c r="I41">
        <f t="shared" si="3"/>
        <v>1.0243277848911658E-2</v>
      </c>
      <c r="J41">
        <f t="shared" si="4"/>
        <v>2.4390243902439046E-3</v>
      </c>
      <c r="K41">
        <f t="shared" si="5"/>
        <v>3.0654399245952924E-3</v>
      </c>
    </row>
    <row r="42" spans="1:11" x14ac:dyDescent="0.15">
      <c r="A42" s="1">
        <v>45942</v>
      </c>
      <c r="B42">
        <v>25.3</v>
      </c>
      <c r="C42">
        <v>30.84</v>
      </c>
      <c r="D42">
        <v>9.0500000000000007</v>
      </c>
      <c r="E42">
        <v>62.1</v>
      </c>
      <c r="F42" s="2">
        <v>4821.2299999999996</v>
      </c>
      <c r="G42">
        <f t="shared" si="1"/>
        <v>1.8518518518518601E-2</v>
      </c>
      <c r="H42">
        <f t="shared" si="2"/>
        <v>0.11577424023154848</v>
      </c>
      <c r="I42">
        <f t="shared" si="3"/>
        <v>0.14702154626109021</v>
      </c>
      <c r="J42">
        <f t="shared" si="4"/>
        <v>7.2992700729928028E-3</v>
      </c>
      <c r="K42">
        <f t="shared" si="5"/>
        <v>2.0361818574312629E-2</v>
      </c>
    </row>
    <row r="43" spans="1:11" x14ac:dyDescent="0.15">
      <c r="A43" s="1">
        <v>45949</v>
      </c>
      <c r="B43">
        <v>25.86</v>
      </c>
      <c r="C43">
        <v>30.14</v>
      </c>
      <c r="D43">
        <v>9.09</v>
      </c>
      <c r="E43">
        <v>60.35</v>
      </c>
      <c r="F43" s="2">
        <v>4922.46</v>
      </c>
      <c r="G43">
        <f t="shared" si="1"/>
        <v>2.2134387351778528E-2</v>
      </c>
      <c r="H43">
        <f t="shared" si="2"/>
        <v>-2.2697795071335958E-2</v>
      </c>
      <c r="I43">
        <f t="shared" si="3"/>
        <v>4.4198895027622864E-3</v>
      </c>
      <c r="J43">
        <f t="shared" si="4"/>
        <v>-2.8180354267310803E-2</v>
      </c>
      <c r="K43">
        <f t="shared" si="5"/>
        <v>2.099671660551361E-2</v>
      </c>
    </row>
    <row r="44" spans="1:11" x14ac:dyDescent="0.15">
      <c r="A44" s="1">
        <v>45956</v>
      </c>
      <c r="B44">
        <v>25.9</v>
      </c>
      <c r="C44">
        <v>31.38</v>
      </c>
      <c r="D44">
        <v>8.99</v>
      </c>
      <c r="E44">
        <v>61.05</v>
      </c>
      <c r="F44" s="2">
        <v>4937.0600000000004</v>
      </c>
      <c r="G44">
        <f t="shared" si="1"/>
        <v>1.5467904098993568E-3</v>
      </c>
      <c r="H44">
        <f t="shared" si="2"/>
        <v>4.1141340411413374E-2</v>
      </c>
      <c r="I44">
        <f t="shared" si="3"/>
        <v>-1.1001100110010986E-2</v>
      </c>
      <c r="J44">
        <f t="shared" si="4"/>
        <v>1.1599005799502793E-2</v>
      </c>
      <c r="K44">
        <f t="shared" si="5"/>
        <v>2.9659966764585821E-3</v>
      </c>
    </row>
    <row r="45" spans="1:11" x14ac:dyDescent="0.15">
      <c r="A45" s="1">
        <v>45963</v>
      </c>
      <c r="B45">
        <v>25.84</v>
      </c>
      <c r="C45">
        <v>31.16</v>
      </c>
      <c r="D45">
        <v>8.6</v>
      </c>
      <c r="E45">
        <v>58.15</v>
      </c>
      <c r="F45" s="2">
        <v>4924.57</v>
      </c>
      <c r="G45">
        <f t="shared" si="1"/>
        <v>-2.3166023166022454E-3</v>
      </c>
      <c r="H45">
        <f t="shared" si="2"/>
        <v>-7.0108349267048453E-3</v>
      </c>
      <c r="I45">
        <f t="shared" si="3"/>
        <v>-4.3381535038932162E-2</v>
      </c>
      <c r="J45">
        <f t="shared" si="4"/>
        <v>-4.7502047502047451E-2</v>
      </c>
      <c r="K45">
        <f t="shared" si="5"/>
        <v>-2.5298456976420303E-3</v>
      </c>
    </row>
    <row r="46" spans="1:11" x14ac:dyDescent="0.15">
      <c r="A46" s="1">
        <v>45970</v>
      </c>
      <c r="B46">
        <v>25.86</v>
      </c>
      <c r="C46">
        <v>32.1</v>
      </c>
      <c r="D46">
        <v>8.9499999999999993</v>
      </c>
      <c r="E46">
        <v>58.1</v>
      </c>
      <c r="F46" s="2">
        <v>4932.95</v>
      </c>
      <c r="G46">
        <f t="shared" si="1"/>
        <v>7.7399380804954454E-4</v>
      </c>
      <c r="H46">
        <f t="shared" si="2"/>
        <v>3.0166880616174563E-2</v>
      </c>
      <c r="I46">
        <f t="shared" si="3"/>
        <v>4.0697674418604501E-2</v>
      </c>
      <c r="J46">
        <f t="shared" si="4"/>
        <v>-8.5984522785897965E-4</v>
      </c>
      <c r="K46">
        <f t="shared" si="5"/>
        <v>1.7016714149662437E-3</v>
      </c>
    </row>
    <row r="47" spans="1:11" x14ac:dyDescent="0.15">
      <c r="A47" s="1">
        <v>45977</v>
      </c>
      <c r="B47">
        <v>25.78</v>
      </c>
      <c r="C47">
        <v>31.44</v>
      </c>
      <c r="D47">
        <v>8.24</v>
      </c>
      <c r="E47">
        <v>56.55</v>
      </c>
      <c r="F47" s="2">
        <v>4914.2299999999996</v>
      </c>
      <c r="G47">
        <f t="shared" si="1"/>
        <v>-3.0935808197988246E-3</v>
      </c>
      <c r="H47">
        <f t="shared" si="2"/>
        <v>-2.0560747663551426E-2</v>
      </c>
      <c r="I47">
        <f t="shared" si="3"/>
        <v>-7.9329608938547347E-2</v>
      </c>
      <c r="J47">
        <f t="shared" si="4"/>
        <v>-2.6678141135972555E-2</v>
      </c>
      <c r="K47">
        <f t="shared" si="5"/>
        <v>-3.7948894677627409E-3</v>
      </c>
    </row>
    <row r="48" spans="1:11" x14ac:dyDescent="0.15">
      <c r="A48" s="1">
        <v>45984</v>
      </c>
      <c r="B48">
        <v>24.63</v>
      </c>
      <c r="C48">
        <v>30.9</v>
      </c>
      <c r="D48">
        <v>7.61</v>
      </c>
      <c r="E48">
        <v>55.95</v>
      </c>
      <c r="F48" s="2">
        <v>4698.78</v>
      </c>
      <c r="G48">
        <f t="shared" si="1"/>
        <v>-4.4608223429014826E-2</v>
      </c>
      <c r="H48">
        <f t="shared" si="2"/>
        <v>-1.7175572519084081E-2</v>
      </c>
      <c r="I48">
        <f t="shared" si="3"/>
        <v>-7.6456310679611672E-2</v>
      </c>
      <c r="J48">
        <f t="shared" si="4"/>
        <v>-1.0610079575596676E-2</v>
      </c>
      <c r="K48">
        <f t="shared" si="5"/>
        <v>-4.3842066814129499E-2</v>
      </c>
    </row>
    <row r="49" spans="1:11" x14ac:dyDescent="0.15">
      <c r="A49" s="1">
        <v>45991</v>
      </c>
      <c r="B49">
        <v>24.52</v>
      </c>
      <c r="C49">
        <v>29.5</v>
      </c>
      <c r="D49">
        <v>7.25</v>
      </c>
      <c r="E49">
        <v>54.7</v>
      </c>
      <c r="F49" s="2">
        <v>4673.59</v>
      </c>
      <c r="G49">
        <f t="shared" si="1"/>
        <v>-4.4660982541615546E-3</v>
      </c>
      <c r="H49">
        <f t="shared" si="2"/>
        <v>-4.5307443365695699E-2</v>
      </c>
      <c r="I49">
        <f t="shared" si="3"/>
        <v>-4.7306176084099927E-2</v>
      </c>
      <c r="J49">
        <f t="shared" si="4"/>
        <v>-2.2341376228775744E-2</v>
      </c>
      <c r="K49">
        <f t="shared" si="5"/>
        <v>-5.3609660379927426E-3</v>
      </c>
    </row>
    <row r="50" spans="1:11" x14ac:dyDescent="0.15">
      <c r="A50" s="1">
        <v>45998</v>
      </c>
      <c r="B50">
        <v>23.9</v>
      </c>
      <c r="C50">
        <v>29.9</v>
      </c>
      <c r="D50">
        <v>7.45</v>
      </c>
      <c r="E50">
        <v>54.15</v>
      </c>
      <c r="F50" s="2">
        <v>4561.91</v>
      </c>
      <c r="G50">
        <f t="shared" si="1"/>
        <v>-2.5285481239804231E-2</v>
      </c>
      <c r="H50">
        <f t="shared" si="2"/>
        <v>1.3559322033898313E-2</v>
      </c>
      <c r="I50">
        <f t="shared" si="3"/>
        <v>2.7586206896551779E-2</v>
      </c>
      <c r="J50">
        <f t="shared" si="4"/>
        <v>-1.0054844606947055E-2</v>
      </c>
      <c r="K50">
        <f t="shared" si="5"/>
        <v>-2.3895977182422978E-2</v>
      </c>
    </row>
    <row r="51" spans="1:11" x14ac:dyDescent="0.15">
      <c r="A51" s="1">
        <v>46005</v>
      </c>
      <c r="B51">
        <v>23.65</v>
      </c>
      <c r="C51">
        <v>30.28</v>
      </c>
      <c r="D51">
        <v>6.94</v>
      </c>
      <c r="E51">
        <v>52.5</v>
      </c>
      <c r="F51" s="2">
        <v>4515.68</v>
      </c>
      <c r="G51">
        <f t="shared" si="1"/>
        <v>-1.0460251046025104E-2</v>
      </c>
      <c r="H51">
        <f t="shared" si="2"/>
        <v>1.2709030100334529E-2</v>
      </c>
      <c r="I51">
        <f t="shared" si="3"/>
        <v>-6.8456375838926165E-2</v>
      </c>
      <c r="J51">
        <f t="shared" si="4"/>
        <v>-3.0470914127423754E-2</v>
      </c>
      <c r="K51">
        <f t="shared" si="5"/>
        <v>-1.013391320740642E-2</v>
      </c>
    </row>
    <row r="52" spans="1:11" x14ac:dyDescent="0.15">
      <c r="A52" s="1">
        <v>46012</v>
      </c>
      <c r="B52">
        <v>23.69</v>
      </c>
      <c r="C52">
        <v>29.58</v>
      </c>
      <c r="D52">
        <v>6.86</v>
      </c>
      <c r="E52">
        <v>52.15</v>
      </c>
      <c r="F52" s="2">
        <v>4521.4399999999996</v>
      </c>
      <c r="G52">
        <f t="shared" si="1"/>
        <v>1.6913319238902602E-3</v>
      </c>
      <c r="H52">
        <f t="shared" si="2"/>
        <v>-2.3117569352708145E-2</v>
      </c>
      <c r="I52">
        <f t="shared" si="3"/>
        <v>-1.1527377521613813E-2</v>
      </c>
      <c r="J52">
        <f t="shared" si="4"/>
        <v>-6.6666666666667096E-3</v>
      </c>
      <c r="K52">
        <f t="shared" si="5"/>
        <v>1.2755553980794421E-3</v>
      </c>
    </row>
    <row r="53" spans="1:11" x14ac:dyDescent="0.15">
      <c r="A53" s="1">
        <v>46019</v>
      </c>
      <c r="B53">
        <v>23.88</v>
      </c>
      <c r="C53">
        <v>29.06</v>
      </c>
      <c r="D53">
        <v>6.91</v>
      </c>
      <c r="E53">
        <v>50.85</v>
      </c>
      <c r="F53" s="2">
        <v>4554.8900000000003</v>
      </c>
      <c r="G53">
        <f t="shared" si="1"/>
        <v>8.0202617138032117E-3</v>
      </c>
      <c r="H53">
        <f t="shared" si="2"/>
        <v>-1.7579445571331953E-2</v>
      </c>
      <c r="I53">
        <f t="shared" si="3"/>
        <v>7.2886297376093534E-3</v>
      </c>
      <c r="J53">
        <f t="shared" si="4"/>
        <v>-2.4928092042185934E-2</v>
      </c>
      <c r="K53">
        <f t="shared" si="5"/>
        <v>7.3980855656605726E-3</v>
      </c>
    </row>
    <row r="55" spans="1:11" x14ac:dyDescent="0.15">
      <c r="A55" t="s">
        <v>36</v>
      </c>
      <c r="G55" s="3">
        <v>0.25</v>
      </c>
      <c r="H55" s="3">
        <v>0.25</v>
      </c>
      <c r="I55" s="3">
        <v>0.25</v>
      </c>
      <c r="J55" s="3">
        <v>0.25</v>
      </c>
    </row>
    <row r="56" spans="1:11" x14ac:dyDescent="0.15">
      <c r="A56" t="s">
        <v>11</v>
      </c>
      <c r="B56">
        <f>AVERAGE(G3,G53)</f>
        <v>9.3768571538604961E-3</v>
      </c>
      <c r="C56">
        <f t="shared" ref="C56:F56" si="6">AVERAGE(H3,H53)</f>
        <v>1.6349942018803298E-2</v>
      </c>
      <c r="D56">
        <f t="shared" si="6"/>
        <v>3.0338142583040684E-3</v>
      </c>
      <c r="E56">
        <f t="shared" si="6"/>
        <v>-4.1075000600901967E-3</v>
      </c>
      <c r="F56">
        <f t="shared" si="6"/>
        <v>9.28282314026041E-3</v>
      </c>
    </row>
    <row r="57" spans="1:11" x14ac:dyDescent="0.15">
      <c r="A57" t="s">
        <v>12</v>
      </c>
      <c r="B57" s="4">
        <f>(1+B56)^51-1</f>
        <v>0.60960938883369442</v>
      </c>
      <c r="C57" s="4">
        <f t="shared" ref="C57:F57" si="7">(1+C56)^51-1</f>
        <v>1.2866863700974891</v>
      </c>
      <c r="D57" s="4">
        <f t="shared" si="7"/>
        <v>0.16706295522084669</v>
      </c>
      <c r="E57" s="4">
        <f t="shared" si="7"/>
        <v>-0.18934596742402576</v>
      </c>
      <c r="F57" s="4">
        <f t="shared" si="7"/>
        <v>0.6019796233843453</v>
      </c>
    </row>
    <row r="58" spans="1:11" x14ac:dyDescent="0.15">
      <c r="A58" t="s">
        <v>13</v>
      </c>
      <c r="B58">
        <f>PRODUCT(G3:G53)^(1/COUNT(G3:G53))-1</f>
        <v>-0.9907849632845922</v>
      </c>
      <c r="C58">
        <f>PRODUCT(H3:H53)^(1/COUNT(H3:H53))-1</f>
        <v>-0.98213034901585961</v>
      </c>
      <c r="D58">
        <f t="shared" ref="D58" si="8">PRODUCT(I3:I53)^(1/COUNT(I3:I53))-1</f>
        <v>-1.0205229372291165</v>
      </c>
      <c r="E58">
        <f>PRODUCT(J3:J53)^(1/COUNT(J3:J53))-1</f>
        <v>-0.98414093787038281</v>
      </c>
      <c r="F58">
        <f>PRODUCT(K3:K53)^(1/COUNT(K3:K53))-1</f>
        <v>-0.99041458704498764</v>
      </c>
    </row>
    <row r="59" spans="1:11" x14ac:dyDescent="0.15">
      <c r="A59" t="s">
        <v>14</v>
      </c>
      <c r="B59">
        <f>_xlfn.STDEV.S(G3:G53)</f>
        <v>2.0059280599570142E-2</v>
      </c>
      <c r="C59">
        <f t="shared" ref="C59:F59" si="9">_xlfn.STDEV.S(H3:H53)</f>
        <v>3.7316996120632141E-2</v>
      </c>
      <c r="D59">
        <f t="shared" si="9"/>
        <v>5.1179888700700893E-2</v>
      </c>
      <c r="E59">
        <f t="shared" si="9"/>
        <v>3.8067654335474266E-2</v>
      </c>
      <c r="F59">
        <f t="shared" si="9"/>
        <v>1.9809458662117353E-2</v>
      </c>
    </row>
    <row r="60" spans="1:11" x14ac:dyDescent="0.15">
      <c r="A60" t="s">
        <v>15</v>
      </c>
      <c r="B60">
        <f>B59*SQRT(51)</f>
        <v>0.1432519167298883</v>
      </c>
      <c r="C60">
        <f t="shared" ref="C60:F60" si="10">C59*SQRT(51)</f>
        <v>0.26649665696370561</v>
      </c>
      <c r="D60">
        <f t="shared" si="10"/>
        <v>0.36549751213684434</v>
      </c>
      <c r="E60">
        <f t="shared" si="10"/>
        <v>0.27185742887929842</v>
      </c>
      <c r="F60">
        <f t="shared" si="10"/>
        <v>0.14146783124368928</v>
      </c>
    </row>
    <row r="61" spans="1:11" x14ac:dyDescent="0.15">
      <c r="A61" t="s">
        <v>16</v>
      </c>
      <c r="B61">
        <f>_xlfn.VAR.S(G3:G53)</f>
        <v>4.0237473817229108E-4</v>
      </c>
      <c r="C61">
        <f t="shared" ref="C61:F61" si="11">_xlfn.VAR.S(H3:H53)</f>
        <v>1.3925581994672742E-3</v>
      </c>
      <c r="D61">
        <f t="shared" si="11"/>
        <v>2.6193810074161311E-3</v>
      </c>
      <c r="E61">
        <f t="shared" si="11"/>
        <v>1.4491463066051526E-3</v>
      </c>
      <c r="F61">
        <f t="shared" si="11"/>
        <v>3.9241465248613619E-4</v>
      </c>
    </row>
    <row r="62" spans="1:11" x14ac:dyDescent="0.15">
      <c r="A62" t="s">
        <v>37</v>
      </c>
      <c r="B62">
        <f>B61*51</f>
        <v>2.0521111646786844E-2</v>
      </c>
      <c r="C62">
        <f t="shared" ref="C62:F62" si="12">C61*51</f>
        <v>7.1020468172830989E-2</v>
      </c>
      <c r="D62">
        <f t="shared" si="12"/>
        <v>0.13358843137822268</v>
      </c>
      <c r="E62">
        <f t="shared" si="12"/>
        <v>7.3906461636862777E-2</v>
      </c>
      <c r="F62">
        <f t="shared" si="12"/>
        <v>2.0013147276792945E-2</v>
      </c>
    </row>
    <row r="63" spans="1:11" x14ac:dyDescent="0.15">
      <c r="A63" t="s">
        <v>17</v>
      </c>
      <c r="B63">
        <f>B59/B56</f>
        <v>2.1392328229412816</v>
      </c>
      <c r="C63">
        <f t="shared" ref="C63:F63" si="13">C59/C56</f>
        <v>2.2823931777688031</v>
      </c>
      <c r="D63">
        <f t="shared" si="13"/>
        <v>16.86981612688146</v>
      </c>
      <c r="E63">
        <f t="shared" si="13"/>
        <v>-9.2678402382392999</v>
      </c>
      <c r="F63">
        <f t="shared" si="13"/>
        <v>2.133990744281447</v>
      </c>
    </row>
    <row r="64" spans="1:11" x14ac:dyDescent="0.15">
      <c r="A64" t="s">
        <v>18</v>
      </c>
      <c r="B64">
        <f>_xlfn.COVARIANCE.S(G3:G53,$K$3:$K$53)</f>
        <v>3.9695259552868269E-4</v>
      </c>
      <c r="C64">
        <f t="shared" ref="C64:F64" si="14">_xlfn.COVARIANCE.S(H3:H53,$K$3:$K$53)</f>
        <v>3.2839951246160917E-4</v>
      </c>
      <c r="D64">
        <f t="shared" si="14"/>
        <v>3.5610034164584392E-4</v>
      </c>
      <c r="E64">
        <f t="shared" si="14"/>
        <v>2.57927261562157E-4</v>
      </c>
      <c r="F64">
        <f t="shared" si="14"/>
        <v>3.9241465248613614E-4</v>
      </c>
    </row>
    <row r="65" spans="1:6" x14ac:dyDescent="0.15">
      <c r="A65" t="s">
        <v>19</v>
      </c>
      <c r="B65">
        <f>CORREL(G3:G53,$K$3:$K$53)</f>
        <v>0.99896594853117626</v>
      </c>
      <c r="C65">
        <f t="shared" ref="C65:F65" si="15">CORREL(H3:H53,$K$3:$K$53)</f>
        <v>0.44424568553489074</v>
      </c>
      <c r="D65">
        <f t="shared" si="15"/>
        <v>0.35123715084991602</v>
      </c>
      <c r="E65">
        <f t="shared" si="15"/>
        <v>0.34203340386055209</v>
      </c>
      <c r="F65">
        <f t="shared" si="15"/>
        <v>1</v>
      </c>
    </row>
    <row r="66" spans="1:6" x14ac:dyDescent="0.15">
      <c r="A66" t="s">
        <v>21</v>
      </c>
      <c r="B66" cm="1">
        <f t="array" ref="B66">INDEX(LINEST(G3:G53,$K$3:$K$53),1)</f>
        <v>1.0115641529025392</v>
      </c>
      <c r="C66" cm="1">
        <f t="array" ref="C66">INDEX(LINEST(H3:H53,$K$3:$K$53),1)</f>
        <v>0.83686862960146813</v>
      </c>
      <c r="D66" cm="1">
        <f t="array" ref="D66">INDEX(LINEST(I3:I53,$K$3:$K$53),1)</f>
        <v>0.90745934024067754</v>
      </c>
      <c r="E66" cm="1">
        <f t="array" ref="E66">INDEX(LINEST(J3:J53,$K$3:$K$53),1)</f>
        <v>0.65728244327285767</v>
      </c>
      <c r="F66" cm="1">
        <f t="array" ref="F66">INDEX(LINEST(K3:K53,$K$3:$K$53),1)</f>
        <v>1</v>
      </c>
    </row>
    <row r="67" spans="1:6" x14ac:dyDescent="0.15">
      <c r="A67" t="s">
        <v>20</v>
      </c>
      <c r="B67" cm="1">
        <f t="array" ref="B67">INDEX(LINEST(G3:G53,$K$3:$K$53),2)</f>
        <v>-1.3397975605752843E-4</v>
      </c>
      <c r="C67" cm="1">
        <f t="array" ref="C67">INDEX(LINEST(H3:H53,$K$3:$K$53),2)</f>
        <v>8.8815000725993749E-3</v>
      </c>
      <c r="D67" cm="1">
        <f t="array" ref="D67">INDEX(LINEST(I3:I53,$K$3:$K$53),2)</f>
        <v>3.9018275049104842E-4</v>
      </c>
      <c r="E67" cm="1">
        <f t="array" ref="E67">INDEX(LINEST(J3:J53,$K$3:$K$53),2)</f>
        <v>-4.2700365239474493E-3</v>
      </c>
      <c r="F67" cm="1">
        <f t="array" ref="F67">INDEX(LINEST(K3:K53,$K$3:$K$53),2)</f>
        <v>0</v>
      </c>
    </row>
    <row r="68" spans="1:6" x14ac:dyDescent="0.15">
      <c r="A68" t="s">
        <v>22</v>
      </c>
      <c r="B68">
        <f>(INDEX(LINEST(G3:G53,$K$3:$K$53,1,1),3,2))^2*(COUNT(G3:G53)-2)/(COUNT(G3:G53)-1)</f>
        <v>8.3172213385514238E-7</v>
      </c>
      <c r="C68">
        <f t="shared" ref="C68:F68" si="16">(INDEX(LINEST(H3:H53,$K$3:$K$53,1,1),3,2))^2*(COUNT(H3:H53)-2)/(COUNT(H3:H53)-1)</f>
        <v>1.117730949511737E-3</v>
      </c>
      <c r="D68">
        <f t="shared" si="16"/>
        <v>2.2962344263267134E-3</v>
      </c>
      <c r="E68">
        <f t="shared" si="16"/>
        <v>1.279615245938901E-3</v>
      </c>
    </row>
    <row r="69" spans="1:6" x14ac:dyDescent="0.15">
      <c r="A69" t="s">
        <v>24</v>
      </c>
      <c r="B69">
        <f>SUMPRODUCT(B67:E67,G55:J55)</f>
        <v>1.2169166357713615E-3</v>
      </c>
    </row>
    <row r="70" spans="1:6" x14ac:dyDescent="0.15">
      <c r="A70" t="s">
        <v>25</v>
      </c>
      <c r="B70">
        <f>SUMPRODUCT(B66:E66,G55:J55)</f>
        <v>0.85329364150438569</v>
      </c>
    </row>
    <row r="71" spans="1:6" x14ac:dyDescent="0.15">
      <c r="A71" t="s">
        <v>26</v>
      </c>
      <c r="B71" cm="1">
        <f t="array" ref="B71">SUMPRODUCT(G55:J55^2,B68:E68)</f>
        <v>2.9340077149445039E-4</v>
      </c>
    </row>
    <row r="72" spans="1:6" x14ac:dyDescent="0.15">
      <c r="A72" t="s">
        <v>23</v>
      </c>
      <c r="B72">
        <f>SUMPRODUCT(G55:J55,B56:E56)</f>
        <v>6.1632783427194165E-3</v>
      </c>
    </row>
    <row r="73" spans="1:6" x14ac:dyDescent="0.15">
      <c r="A73" t="s">
        <v>38</v>
      </c>
      <c r="B73">
        <f>B69+B70*F56</f>
        <v>9.1378905965653432E-3</v>
      </c>
    </row>
    <row r="74" spans="1:6" x14ac:dyDescent="0.15">
      <c r="A74" t="s">
        <v>27</v>
      </c>
      <c r="B74">
        <f>B70^2*F61</f>
        <v>2.8572104778137094E-4</v>
      </c>
    </row>
    <row r="75" spans="1:6" x14ac:dyDescent="0.15">
      <c r="A75" t="s">
        <v>28</v>
      </c>
      <c r="B75">
        <f>B71</f>
        <v>2.9340077149445039E-4</v>
      </c>
    </row>
    <row r="76" spans="1:6" x14ac:dyDescent="0.15">
      <c r="A76" t="s">
        <v>29</v>
      </c>
      <c r="B76">
        <f>B74+B75</f>
        <v>5.7912181927582138E-4</v>
      </c>
    </row>
    <row r="77" spans="1:6" x14ac:dyDescent="0.15">
      <c r="A77" t="s">
        <v>30</v>
      </c>
      <c r="B77">
        <f>SQRT(B76)</f>
        <v>2.4064950016067378E-2</v>
      </c>
    </row>
    <row r="78" spans="1:6" x14ac:dyDescent="0.15">
      <c r="A78" t="s">
        <v>35</v>
      </c>
      <c r="B78" cm="1">
        <f t="array" ref="B78">SUMPRODUCT(IF(G3:G53&lt;B56,G3:G53-B56,0),IF(G3:G53&lt;B56,G3:G53-B56,0))/(COUNT(G3:G53)-1)</f>
        <v>4.4257284213822609E-4</v>
      </c>
      <c r="C78" cm="1">
        <f t="array" ref="C78">SUMPRODUCT(IF(H3:H53&lt;C56,H3:H53-C56,0),IF(H3:H53&lt;C56,H3:H53-C56,0))/(COUNT(H3:H53)-1)</f>
        <v>8.2024420812892786E-4</v>
      </c>
      <c r="D78" cm="1">
        <f t="array" ref="D78">SUMPRODUCT(IF(I3:I53&lt;D56,I3:I53-D56,0),IF(I3:I53&lt;D56,I3:I53-D56,0))/(COUNT(I3:I53)-1)</f>
        <v>1.1413285464895214E-3</v>
      </c>
      <c r="E78" cm="1">
        <f t="array" ref="E78">SUMPRODUCT(IF(J3:J53&lt;E56,J3:J53-E56,0),IF(J3:J53&lt;E56,J3:J53-E56,0))/(COUNT(J3:J53)-1)</f>
        <v>4.8074257706071663E-4</v>
      </c>
      <c r="F78" cm="1">
        <f t="array" ref="F78">SUMPRODUCT(IF(K3:K53&lt;F56,K3:K53-F56,0),IF(K3:K53&lt;F56,K3:K53-F56,0))/(COUNT(K3:K53)-1)</f>
        <v>4.2687251321988989E-4</v>
      </c>
    </row>
    <row r="79" spans="1:6" x14ac:dyDescent="0.15">
      <c r="A79" t="s">
        <v>39</v>
      </c>
      <c r="B79">
        <f>SQRT(B78)</f>
        <v>2.1037415291290565E-2</v>
      </c>
      <c r="C79">
        <f t="shared" ref="C79:F79" si="17">SQRT(C78)</f>
        <v>2.8639905868017929E-2</v>
      </c>
      <c r="D79">
        <f t="shared" si="17"/>
        <v>3.3783554379157935E-2</v>
      </c>
      <c r="E79">
        <f t="shared" si="17"/>
        <v>2.1925842676182746E-2</v>
      </c>
      <c r="F79">
        <f t="shared" si="17"/>
        <v>2.0660893330635293E-2</v>
      </c>
    </row>
    <row r="80" spans="1:6" x14ac:dyDescent="0.15">
      <c r="A80" t="s">
        <v>31</v>
      </c>
      <c r="B80">
        <f>B79*SQRT(51)</f>
        <v>0.1502371956242845</v>
      </c>
      <c r="C80">
        <f t="shared" ref="C80:F80" si="18">C79*SQRT(51)</f>
        <v>0.20452983795665444</v>
      </c>
      <c r="D80">
        <f t="shared" si="18"/>
        <v>0.24126283566054177</v>
      </c>
      <c r="E80">
        <f t="shared" si="18"/>
        <v>0.1565818362074495</v>
      </c>
      <c r="F80">
        <f t="shared" si="18"/>
        <v>0.14754829099049027</v>
      </c>
    </row>
    <row r="81" spans="1:6" x14ac:dyDescent="0.15">
      <c r="A81" t="s">
        <v>32</v>
      </c>
      <c r="B81">
        <f>B60/(B57-3%)</f>
        <v>0.24715251251906678</v>
      </c>
      <c r="C81">
        <f t="shared" ref="C81:F81" si="19">C60/(C57-3%)</f>
        <v>0.21206298031467613</v>
      </c>
      <c r="D81">
        <f t="shared" si="19"/>
        <v>2.6666396587460541</v>
      </c>
      <c r="E81">
        <f t="shared" si="19"/>
        <v>-1.2394001680174991</v>
      </c>
      <c r="F81">
        <f t="shared" si="19"/>
        <v>0.24733019404893922</v>
      </c>
    </row>
    <row r="82" spans="1:6" x14ac:dyDescent="0.15">
      <c r="A82" t="s">
        <v>33</v>
      </c>
      <c r="B82">
        <f>1/B81</f>
        <v>4.0460847021446087</v>
      </c>
      <c r="C82">
        <f t="shared" ref="C82:F82" si="20">1/C81</f>
        <v>4.7155802418513568</v>
      </c>
      <c r="D82">
        <f t="shared" si="20"/>
        <v>0.37500379802730244</v>
      </c>
      <c r="E82">
        <f t="shared" si="20"/>
        <v>-0.80684191095404223</v>
      </c>
      <c r="F82">
        <f t="shared" si="20"/>
        <v>4.0431780027719952</v>
      </c>
    </row>
    <row r="83" spans="1:6" x14ac:dyDescent="0.15">
      <c r="A83" t="s">
        <v>34</v>
      </c>
      <c r="B83">
        <f>(B57-3%)/B80</f>
        <v>3.8579619808878123</v>
      </c>
      <c r="C83">
        <f t="shared" ref="C83:F83" si="21">(C57-3%)/C80</f>
        <v>6.1442691328187324</v>
      </c>
      <c r="D83">
        <f t="shared" si="21"/>
        <v>0.56810637595959901</v>
      </c>
      <c r="E83">
        <f t="shared" si="21"/>
        <v>-1.4008391569340288</v>
      </c>
      <c r="F83">
        <f t="shared" si="21"/>
        <v>3.8765587831932957</v>
      </c>
    </row>
    <row r="84" spans="1:6" x14ac:dyDescent="0.15">
      <c r="A84" t="s">
        <v>40</v>
      </c>
      <c r="B84" s="6">
        <f>B57-3%-B66*(F57-3%)</f>
        <v>1.0153056273957128E-3</v>
      </c>
      <c r="C84" s="5">
        <f t="shared" ref="C84:F84" si="22">C57-3%-C66*(G57-3%)</f>
        <v>1.2817924289855331</v>
      </c>
      <c r="D84" s="5">
        <f t="shared" si="22"/>
        <v>0.16428673542806702</v>
      </c>
      <c r="E84" s="5">
        <f t="shared" si="22"/>
        <v>-0.19962749412584002</v>
      </c>
      <c r="F84" s="5">
        <f t="shared" si="22"/>
        <v>0.6019796233843453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أوراق العمل</vt:lpstr>
      </vt:variant>
      <vt:variant>
        <vt:i4>1</vt:i4>
      </vt:variant>
    </vt:vector>
  </HeadingPairs>
  <TitlesOfParts>
    <vt:vector size="1" baseType="lpstr">
      <vt:lpstr>الواجب الثاني بمقرر إدارة المحا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ESAM</dc:creator>
  <cp:lastModifiedBy>حسام حسام</cp:lastModifiedBy>
  <dcterms:created xsi:type="dcterms:W3CDTF">2026-02-11T15:10:34Z</dcterms:created>
  <dcterms:modified xsi:type="dcterms:W3CDTF">2026-02-15T21:03:09Z</dcterms:modified>
</cp:coreProperties>
</file>